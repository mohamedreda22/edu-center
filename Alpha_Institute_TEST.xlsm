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.Mohamed\Desktop\"/>
    </mc:Choice>
  </mc:AlternateContent>
  <xr:revisionPtr revIDLastSave="0" documentId="13_ncr:1_{CF14DD76-9014-4B5F-911D-1D3371FF9BC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لوحة التحكم" sheetId="1" r:id="rId1"/>
    <sheet name="الطلاب" sheetId="2" r:id="rId2"/>
    <sheet name="المعلمون" sheetId="3" r:id="rId3"/>
    <sheet name="الحركات المالية" sheetId="4" r:id="rId4"/>
    <sheet name="الإعدادات" sheetId="5" r:id="rId5"/>
    <sheet name="تقرير المعلم" sheetId="6" r:id="rId6"/>
    <sheet name="تقرير الطالب" sheetId="7" r:id="rId7"/>
  </sheets>
  <definedNames>
    <definedName name="GOV_1">الإعدادات!$P$11:$P$30</definedName>
    <definedName name="GOV_2">الإعدادات!$Q$11:$Q$30</definedName>
    <definedName name="GOV_3">الإعدادات!$R$11:$R$30</definedName>
    <definedName name="GOV_4">الإعدادات!$S$11:$S$30</definedName>
    <definedName name="GOV_5">الإعدادات!$T$11:$T$30</definedName>
    <definedName name="GOV_6">الإعدادات!$U$11:$U$30</definedName>
    <definedName name="_xlnm.Print_Area" localSheetId="6">'تقرير الطالب'!$B$1:$K$31</definedName>
    <definedName name="_xlnm.Print_Area" localSheetId="5">'تقرير المعلم'!$B$1:$K$39</definedName>
    <definedName name="SIB_CODES">الإعدادات!$A$20:$A$40</definedName>
    <definedName name="SIB_RATES">الإعدادات!$B$20:$B$40</definedName>
    <definedName name="STG_1">الإعدادات!$Z$11:$Z$17</definedName>
    <definedName name="STG_2">الإعدادات!$AA$11:$AA$17</definedName>
    <definedName name="STG_3">الإعدادات!$AB$11:$AB$19</definedName>
    <definedName name="STG_4">الإعدادات!$AC$11:$AC$18</definedName>
    <definedName name="STG_5">الإعدادات!$AD$11:$AD$18</definedName>
    <definedName name="STG_6">الإعدادات!$AE$11:$AE$15</definedName>
    <definedName name="STU_NAMES">OFFSET(الطلاب!$B$4,0,0,MAX(1,COUNTA(الطلاب!$B$4:$B$5000)),1)</definedName>
    <definedName name="TCH_NAMES">OFFSET(المعلمون!$B$4,0,0,MAX(1,COUNTA(المعلمون!$B$4:$B$5000)),1)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1" l="1"/>
  <c r="B11" i="1"/>
  <c r="AL4" i="2"/>
  <c r="AM4" i="2" s="1"/>
  <c r="AL5" i="2"/>
  <c r="AM5" i="2" s="1"/>
  <c r="AL6" i="2"/>
  <c r="AM6" i="2" s="1"/>
  <c r="AC6" i="2" s="1"/>
  <c r="AL7" i="2"/>
  <c r="AM7" i="2" s="1"/>
  <c r="AC7" i="2" s="1"/>
  <c r="AL8" i="2"/>
  <c r="AM8" i="2" s="1"/>
  <c r="AC8" i="2" s="1"/>
  <c r="AL9" i="2"/>
  <c r="AM9" i="2" s="1"/>
  <c r="AC9" i="2" s="1"/>
  <c r="AL10" i="2"/>
  <c r="AM10" i="2" s="1"/>
  <c r="AC10" i="2" s="1"/>
  <c r="AL11" i="2"/>
  <c r="AM11" i="2" s="1"/>
  <c r="AC11" i="2" s="1"/>
  <c r="AJ4" i="2"/>
  <c r="AJ5" i="2"/>
  <c r="AJ6" i="2"/>
  <c r="AJ7" i="2"/>
  <c r="AJ8" i="2"/>
  <c r="AJ9" i="2"/>
  <c r="AJ10" i="2"/>
  <c r="AJ11" i="2"/>
  <c r="AI4" i="2"/>
  <c r="AI5" i="2"/>
  <c r="AI6" i="2"/>
  <c r="AI7" i="2"/>
  <c r="AI8" i="2"/>
  <c r="AI9" i="2"/>
  <c r="AI10" i="2"/>
  <c r="AI11" i="2"/>
  <c r="Y4" i="2"/>
  <c r="Y5" i="2"/>
  <c r="Y6" i="2"/>
  <c r="Y7" i="2"/>
  <c r="Y8" i="2"/>
  <c r="Y9" i="2"/>
  <c r="Y10" i="2"/>
  <c r="Y11" i="2"/>
  <c r="K45" i="3" s="1"/>
  <c r="R4" i="2"/>
  <c r="R5" i="2"/>
  <c r="R6" i="2"/>
  <c r="R7" i="2"/>
  <c r="R8" i="2"/>
  <c r="R9" i="2"/>
  <c r="R10" i="2"/>
  <c r="R11" i="2"/>
  <c r="A4" i="2"/>
  <c r="A5" i="2"/>
  <c r="A6" i="2"/>
  <c r="A7" i="2"/>
  <c r="A8" i="2"/>
  <c r="A9" i="2"/>
  <c r="A10" i="2"/>
  <c r="A11" i="2"/>
  <c r="L27" i="3"/>
  <c r="N27" i="3" s="1"/>
  <c r="L11" i="3"/>
  <c r="N11" i="3" s="1"/>
  <c r="L23" i="3"/>
  <c r="N23" i="3" s="1"/>
  <c r="L29" i="3"/>
  <c r="N29" i="3" s="1"/>
  <c r="L37" i="3"/>
  <c r="N37" i="3" s="1"/>
  <c r="L16" i="3"/>
  <c r="N16" i="3" s="1"/>
  <c r="L4" i="3"/>
  <c r="N4" i="3" s="1"/>
  <c r="L26" i="3"/>
  <c r="N26" i="3" s="1"/>
  <c r="L31" i="3"/>
  <c r="N31" i="3" s="1"/>
  <c r="L51" i="3"/>
  <c r="N51" i="3" s="1"/>
  <c r="L56" i="3"/>
  <c r="N56" i="3" s="1"/>
  <c r="L53" i="3"/>
  <c r="N53" i="3" s="1"/>
  <c r="L18" i="3"/>
  <c r="N18" i="3" s="1"/>
  <c r="L30" i="3"/>
  <c r="N30" i="3" s="1"/>
  <c r="L20" i="3"/>
  <c r="N20" i="3" s="1"/>
  <c r="L24" i="3"/>
  <c r="N24" i="3" s="1"/>
  <c r="L40" i="3"/>
  <c r="N40" i="3" s="1"/>
  <c r="L9" i="3"/>
  <c r="N9" i="3" s="1"/>
  <c r="L28" i="3"/>
  <c r="N28" i="3" s="1"/>
  <c r="L49" i="3"/>
  <c r="N49" i="3" s="1"/>
  <c r="L39" i="3"/>
  <c r="N39" i="3" s="1"/>
  <c r="L8" i="3"/>
  <c r="N8" i="3" s="1"/>
  <c r="L44" i="3"/>
  <c r="N44" i="3" s="1"/>
  <c r="L19" i="3"/>
  <c r="N19" i="3" s="1"/>
  <c r="L22" i="3"/>
  <c r="N22" i="3" s="1"/>
  <c r="L34" i="3"/>
  <c r="N34" i="3" s="1"/>
  <c r="L25" i="3"/>
  <c r="N25" i="3" s="1"/>
  <c r="L6" i="3"/>
  <c r="N6" i="3" s="1"/>
  <c r="L10" i="3"/>
  <c r="N10" i="3" s="1"/>
  <c r="L33" i="3"/>
  <c r="N33" i="3" s="1"/>
  <c r="L35" i="3"/>
  <c r="N35" i="3" s="1"/>
  <c r="L15" i="3"/>
  <c r="N15" i="3" s="1"/>
  <c r="L47" i="3"/>
  <c r="N47" i="3" s="1"/>
  <c r="L48" i="3"/>
  <c r="N48" i="3" s="1"/>
  <c r="L13" i="3"/>
  <c r="N13" i="3" s="1"/>
  <c r="L7" i="3"/>
  <c r="N7" i="3" s="1"/>
  <c r="L36" i="3"/>
  <c r="N36" i="3" s="1"/>
  <c r="L41" i="3"/>
  <c r="N41" i="3" s="1"/>
  <c r="L17" i="3"/>
  <c r="N17" i="3" s="1"/>
  <c r="L43" i="3"/>
  <c r="N43" i="3" s="1"/>
  <c r="L5" i="3"/>
  <c r="N5" i="3" s="1"/>
  <c r="L32" i="3"/>
  <c r="N32" i="3" s="1"/>
  <c r="L21" i="3"/>
  <c r="N21" i="3" s="1"/>
  <c r="L46" i="3"/>
  <c r="N46" i="3" s="1"/>
  <c r="L38" i="3"/>
  <c r="N38" i="3" s="1"/>
  <c r="L52" i="3"/>
  <c r="N52" i="3" s="1"/>
  <c r="L50" i="3"/>
  <c r="N50" i="3" s="1"/>
  <c r="L14" i="3"/>
  <c r="N14" i="3" s="1"/>
  <c r="L55" i="3"/>
  <c r="N55" i="3" s="1"/>
  <c r="L42" i="3"/>
  <c r="N42" i="3" s="1"/>
  <c r="L12" i="3"/>
  <c r="N12" i="3" s="1"/>
  <c r="L54" i="3"/>
  <c r="N54" i="3" s="1"/>
  <c r="K27" i="3"/>
  <c r="K11" i="3"/>
  <c r="K23" i="3"/>
  <c r="K29" i="3"/>
  <c r="K37" i="3"/>
  <c r="K16" i="3"/>
  <c r="K4" i="3"/>
  <c r="K26" i="3"/>
  <c r="K31" i="3"/>
  <c r="K51" i="3"/>
  <c r="K56" i="3"/>
  <c r="K53" i="3"/>
  <c r="K18" i="3"/>
  <c r="K30" i="3"/>
  <c r="K20" i="3"/>
  <c r="K24" i="3"/>
  <c r="K40" i="3"/>
  <c r="K9" i="3"/>
  <c r="K28" i="3"/>
  <c r="K49" i="3"/>
  <c r="K39" i="3"/>
  <c r="K8" i="3"/>
  <c r="K44" i="3"/>
  <c r="K19" i="3"/>
  <c r="K22" i="3"/>
  <c r="K34" i="3"/>
  <c r="K25" i="3"/>
  <c r="K6" i="3"/>
  <c r="K10" i="3"/>
  <c r="K33" i="3"/>
  <c r="K35" i="3"/>
  <c r="K15" i="3"/>
  <c r="K47" i="3"/>
  <c r="K48" i="3"/>
  <c r="K13" i="3"/>
  <c r="K7" i="3"/>
  <c r="K36" i="3"/>
  <c r="K41" i="3"/>
  <c r="K17" i="3"/>
  <c r="K43" i="3"/>
  <c r="K5" i="3"/>
  <c r="K32" i="3"/>
  <c r="K21" i="3"/>
  <c r="K46" i="3"/>
  <c r="K38" i="3"/>
  <c r="K52" i="3"/>
  <c r="K50" i="3"/>
  <c r="K14" i="3"/>
  <c r="K55" i="3"/>
  <c r="K42" i="3"/>
  <c r="K12" i="3"/>
  <c r="K54" i="3"/>
  <c r="J27" i="3"/>
  <c r="J11" i="3"/>
  <c r="J23" i="3"/>
  <c r="J29" i="3"/>
  <c r="J37" i="3"/>
  <c r="J16" i="3"/>
  <c r="J4" i="3"/>
  <c r="J26" i="3"/>
  <c r="J31" i="3"/>
  <c r="J51" i="3"/>
  <c r="J56" i="3"/>
  <c r="J53" i="3"/>
  <c r="J18" i="3"/>
  <c r="J30" i="3"/>
  <c r="J20" i="3"/>
  <c r="J24" i="3"/>
  <c r="J40" i="3"/>
  <c r="J9" i="3"/>
  <c r="J28" i="3"/>
  <c r="J49" i="3"/>
  <c r="J39" i="3"/>
  <c r="J8" i="3"/>
  <c r="J44" i="3"/>
  <c r="J19" i="3"/>
  <c r="J22" i="3"/>
  <c r="J34" i="3"/>
  <c r="J25" i="3"/>
  <c r="J6" i="3"/>
  <c r="J10" i="3"/>
  <c r="J33" i="3"/>
  <c r="J35" i="3"/>
  <c r="J15" i="3"/>
  <c r="J47" i="3"/>
  <c r="J48" i="3"/>
  <c r="J13" i="3"/>
  <c r="J7" i="3"/>
  <c r="J36" i="3"/>
  <c r="J41" i="3"/>
  <c r="J17" i="3"/>
  <c r="J43" i="3"/>
  <c r="J5" i="3"/>
  <c r="J45" i="3"/>
  <c r="J32" i="3"/>
  <c r="J21" i="3"/>
  <c r="J46" i="3"/>
  <c r="J38" i="3"/>
  <c r="J52" i="3"/>
  <c r="J50" i="3"/>
  <c r="J14" i="3"/>
  <c r="J55" i="3"/>
  <c r="J42" i="3"/>
  <c r="J12" i="3"/>
  <c r="J54" i="3"/>
  <c r="I27" i="3"/>
  <c r="I11" i="3"/>
  <c r="I23" i="3"/>
  <c r="I29" i="3"/>
  <c r="I37" i="3"/>
  <c r="I16" i="3"/>
  <c r="I4" i="3"/>
  <c r="I26" i="3"/>
  <c r="I31" i="3"/>
  <c r="I51" i="3"/>
  <c r="I56" i="3"/>
  <c r="I53" i="3"/>
  <c r="I18" i="3"/>
  <c r="I30" i="3"/>
  <c r="I20" i="3"/>
  <c r="I24" i="3"/>
  <c r="I40" i="3"/>
  <c r="I9" i="3"/>
  <c r="I28" i="3"/>
  <c r="I49" i="3"/>
  <c r="I39" i="3"/>
  <c r="I8" i="3"/>
  <c r="I44" i="3"/>
  <c r="I19" i="3"/>
  <c r="I22" i="3"/>
  <c r="I34" i="3"/>
  <c r="I25" i="3"/>
  <c r="I6" i="3"/>
  <c r="I10" i="3"/>
  <c r="I33" i="3"/>
  <c r="I35" i="3"/>
  <c r="I15" i="3"/>
  <c r="I47" i="3"/>
  <c r="I48" i="3"/>
  <c r="I13" i="3"/>
  <c r="I7" i="3"/>
  <c r="I36" i="3"/>
  <c r="I41" i="3"/>
  <c r="I17" i="3"/>
  <c r="I43" i="3"/>
  <c r="I5" i="3"/>
  <c r="I45" i="3"/>
  <c r="I32" i="3"/>
  <c r="I21" i="3"/>
  <c r="I46" i="3"/>
  <c r="I38" i="3"/>
  <c r="I52" i="3"/>
  <c r="I50" i="3"/>
  <c r="I14" i="3"/>
  <c r="I55" i="3"/>
  <c r="I42" i="3"/>
  <c r="I12" i="3"/>
  <c r="I54" i="3"/>
  <c r="A27" i="3"/>
  <c r="A11" i="3"/>
  <c r="A23" i="3"/>
  <c r="A29" i="3"/>
  <c r="A37" i="3"/>
  <c r="A16" i="3"/>
  <c r="A4" i="3"/>
  <c r="A26" i="3"/>
  <c r="A31" i="3"/>
  <c r="A51" i="3"/>
  <c r="A56" i="3"/>
  <c r="A53" i="3"/>
  <c r="A18" i="3"/>
  <c r="A30" i="3"/>
  <c r="A20" i="3"/>
  <c r="A24" i="3"/>
  <c r="A40" i="3"/>
  <c r="A9" i="3"/>
  <c r="A28" i="3"/>
  <c r="A49" i="3"/>
  <c r="A39" i="3"/>
  <c r="A8" i="3"/>
  <c r="A44" i="3"/>
  <c r="A19" i="3"/>
  <c r="A22" i="3"/>
  <c r="A34" i="3"/>
  <c r="A25" i="3"/>
  <c r="A6" i="3"/>
  <c r="A10" i="3"/>
  <c r="A33" i="3"/>
  <c r="A35" i="3"/>
  <c r="A15" i="3"/>
  <c r="A47" i="3"/>
  <c r="A48" i="3"/>
  <c r="A13" i="3"/>
  <c r="A7" i="3"/>
  <c r="A36" i="3"/>
  <c r="A41" i="3"/>
  <c r="A17" i="3"/>
  <c r="A43" i="3"/>
  <c r="A5" i="3"/>
  <c r="A45" i="3"/>
  <c r="A32" i="3"/>
  <c r="A21" i="3"/>
  <c r="A46" i="3"/>
  <c r="A38" i="3"/>
  <c r="A52" i="3"/>
  <c r="A50" i="3"/>
  <c r="A14" i="3"/>
  <c r="A55" i="3"/>
  <c r="A42" i="3"/>
  <c r="A12" i="3"/>
  <c r="A54" i="3"/>
  <c r="N1" i="7"/>
  <c r="G12" i="6"/>
  <c r="E12" i="6"/>
  <c r="C12" i="6"/>
  <c r="G11" i="6"/>
  <c r="E11" i="6"/>
  <c r="C11" i="6"/>
  <c r="C8" i="6"/>
  <c r="I7" i="6"/>
  <c r="G7" i="6"/>
  <c r="E7" i="6"/>
  <c r="C7" i="6"/>
  <c r="C3" i="7"/>
  <c r="B1" i="7"/>
  <c r="C39" i="6"/>
  <c r="O38" i="6" a="1"/>
  <c r="O38" i="6" s="1"/>
  <c r="F38" i="6" s="1"/>
  <c r="O37" i="6" a="1"/>
  <c r="O37" i="6" s="1"/>
  <c r="F37" i="6" s="1"/>
  <c r="O36" i="6" a="1"/>
  <c r="O36" i="6" s="1"/>
  <c r="F36" i="6" s="1"/>
  <c r="O35" i="6" a="1"/>
  <c r="O35" i="6" s="1"/>
  <c r="F35" i="6" s="1"/>
  <c r="O34" i="6" a="1"/>
  <c r="O34" i="6" s="1"/>
  <c r="F34" i="6" s="1"/>
  <c r="O33" i="6" a="1"/>
  <c r="O33" i="6" s="1"/>
  <c r="F33" i="6" s="1"/>
  <c r="O32" i="6" a="1"/>
  <c r="O32" i="6" s="1"/>
  <c r="F32" i="6" s="1"/>
  <c r="O31" i="6" a="1"/>
  <c r="O31" i="6" s="1"/>
  <c r="E31" i="6" s="1"/>
  <c r="N27" i="6" a="1"/>
  <c r="N27" i="6" s="1"/>
  <c r="I27" i="6" s="1" a="1"/>
  <c r="I27" i="6" s="1"/>
  <c r="N26" i="6" a="1"/>
  <c r="N26" i="6" s="1"/>
  <c r="N25" i="6" a="1"/>
  <c r="N25" i="6" s="1"/>
  <c r="C25" i="6" s="1" a="1"/>
  <c r="C25" i="6" s="1"/>
  <c r="N24" i="6" a="1"/>
  <c r="N24" i="6" s="1"/>
  <c r="C24" i="6" s="1" a="1"/>
  <c r="C24" i="6" s="1"/>
  <c r="N23" i="6" a="1"/>
  <c r="N23" i="6" s="1"/>
  <c r="J23" i="6" a="1"/>
  <c r="J23" i="6" s="1"/>
  <c r="N22" i="6" a="1"/>
  <c r="N22" i="6" s="1"/>
  <c r="N21" i="6" a="1"/>
  <c r="N21" i="6" s="1"/>
  <c r="N20" i="6" a="1"/>
  <c r="N20" i="6" s="1"/>
  <c r="K20" i="6" s="1" a="1"/>
  <c r="K20" i="6" s="1"/>
  <c r="N19" i="6" a="1"/>
  <c r="N19" i="6" s="1"/>
  <c r="E19" i="6" s="1" a="1"/>
  <c r="E19" i="6" s="1"/>
  <c r="N18" i="6" a="1"/>
  <c r="N18" i="6" s="1"/>
  <c r="N17" i="6" a="1"/>
  <c r="N17" i="6" s="1"/>
  <c r="N16" i="6" a="1"/>
  <c r="N16" i="6" s="1"/>
  <c r="G16" i="6" s="1" a="1"/>
  <c r="G16" i="6" s="1"/>
  <c r="C3" i="6"/>
  <c r="B1" i="6"/>
  <c r="E2" i="5"/>
  <c r="D2" i="5"/>
  <c r="C2" i="5"/>
  <c r="B2" i="5"/>
  <c r="A2" i="5"/>
  <c r="J11" i="4"/>
  <c r="I11" i="4"/>
  <c r="A11" i="4"/>
  <c r="J10" i="4"/>
  <c r="I10" i="4"/>
  <c r="A10" i="4"/>
  <c r="J9" i="4"/>
  <c r="I9" i="4"/>
  <c r="A9" i="4"/>
  <c r="J8" i="4"/>
  <c r="A8" i="4"/>
  <c r="J7" i="4"/>
  <c r="A7" i="4"/>
  <c r="J6" i="4"/>
  <c r="A6" i="4"/>
  <c r="J5" i="4"/>
  <c r="A5" i="4"/>
  <c r="J4" i="4"/>
  <c r="A4" i="4"/>
  <c r="E2" i="4"/>
  <c r="D2" i="4"/>
  <c r="C2" i="4"/>
  <c r="O27" i="3" s="1"/>
  <c r="B2" i="4"/>
  <c r="A2" i="4"/>
  <c r="E2" i="3"/>
  <c r="D2" i="3"/>
  <c r="C2" i="3"/>
  <c r="B2" i="3"/>
  <c r="A2" i="3"/>
  <c r="E2" i="2"/>
  <c r="D2" i="2"/>
  <c r="C2" i="2"/>
  <c r="B2" i="2"/>
  <c r="AD4" i="2" s="1"/>
  <c r="A2" i="2"/>
  <c r="E26" i="1"/>
  <c r="E24" i="1"/>
  <c r="E23" i="1"/>
  <c r="M17" i="1"/>
  <c r="J17" i="1" s="1"/>
  <c r="B17" i="1"/>
  <c r="M16" i="1"/>
  <c r="H16" i="1" s="1"/>
  <c r="J16" i="1"/>
  <c r="I16" i="1"/>
  <c r="M15" i="1"/>
  <c r="M14" i="1"/>
  <c r="E14" i="1"/>
  <c r="M13" i="1"/>
  <c r="H13" i="1" s="1"/>
  <c r="J13" i="1"/>
  <c r="I13" i="1"/>
  <c r="E13" i="1"/>
  <c r="M12" i="1"/>
  <c r="E12" i="1"/>
  <c r="B12" i="1"/>
  <c r="M11" i="1"/>
  <c r="I11" i="1" s="1"/>
  <c r="H11" i="1"/>
  <c r="E11" i="1"/>
  <c r="M10" i="1"/>
  <c r="E10" i="1"/>
  <c r="M9" i="1"/>
  <c r="J9" i="1" s="1"/>
  <c r="E9" i="1"/>
  <c r="B9" i="1"/>
  <c r="M8" i="1"/>
  <c r="E8" i="1"/>
  <c r="B8" i="1"/>
  <c r="M7" i="1"/>
  <c r="J7" i="1"/>
  <c r="E7" i="1"/>
  <c r="B7" i="1"/>
  <c r="M6" i="1"/>
  <c r="J6" i="1" s="1"/>
  <c r="E6" i="1"/>
  <c r="B6" i="1"/>
  <c r="B5" i="1"/>
  <c r="E2" i="1"/>
  <c r="D2" i="1"/>
  <c r="C2" i="1"/>
  <c r="B2" i="1"/>
  <c r="A2" i="1"/>
  <c r="J11" i="1" l="1"/>
  <c r="K11" i="1" s="1"/>
  <c r="AC4" i="2"/>
  <c r="AC5" i="2"/>
  <c r="AA11" i="2"/>
  <c r="AE11" i="2" s="1"/>
  <c r="AH11" i="2" s="1"/>
  <c r="L45" i="3" s="1"/>
  <c r="N45" i="3" s="1"/>
  <c r="B14" i="1" s="1"/>
  <c r="AB11" i="2"/>
  <c r="AD11" i="2"/>
  <c r="AF11" i="2" s="1"/>
  <c r="AG11" i="2" s="1"/>
  <c r="AA10" i="2"/>
  <c r="AB10" i="2"/>
  <c r="AD10" i="2"/>
  <c r="AF10" i="2" s="1"/>
  <c r="AG10" i="2" s="1"/>
  <c r="AA9" i="2"/>
  <c r="AB9" i="2"/>
  <c r="AD9" i="2"/>
  <c r="AF9" i="2" s="1"/>
  <c r="AG9" i="2" s="1"/>
  <c r="AA8" i="2"/>
  <c r="AB8" i="2"/>
  <c r="AD8" i="2"/>
  <c r="AF8" i="2" s="1"/>
  <c r="AG8" i="2" s="1"/>
  <c r="AA7" i="2"/>
  <c r="AE7" i="2" s="1"/>
  <c r="AH7" i="2" s="1"/>
  <c r="AB7" i="2"/>
  <c r="AD7" i="2"/>
  <c r="AF7" i="2" s="1"/>
  <c r="AG7" i="2" s="1"/>
  <c r="AA6" i="2"/>
  <c r="I5" i="4" s="1"/>
  <c r="AB6" i="2"/>
  <c r="AD6" i="2"/>
  <c r="AF6" i="2" s="1"/>
  <c r="AG6" i="2" s="1"/>
  <c r="J20" i="6" a="1"/>
  <c r="J20" i="6" s="1"/>
  <c r="AA5" i="2"/>
  <c r="AB5" i="2"/>
  <c r="AD5" i="2"/>
  <c r="AA4" i="2"/>
  <c r="AB4" i="2"/>
  <c r="K16" i="1"/>
  <c r="I7" i="1"/>
  <c r="H10" i="1"/>
  <c r="J14" i="1"/>
  <c r="I10" i="1"/>
  <c r="O50" i="3"/>
  <c r="P50" i="3" s="1"/>
  <c r="O43" i="3"/>
  <c r="P43" i="3" s="1"/>
  <c r="O15" i="3"/>
  <c r="P15" i="3" s="1"/>
  <c r="O19" i="3"/>
  <c r="O24" i="3"/>
  <c r="O26" i="3"/>
  <c r="P26" i="3" s="1"/>
  <c r="O52" i="3"/>
  <c r="P52" i="3" s="1"/>
  <c r="O17" i="3"/>
  <c r="P17" i="3" s="1"/>
  <c r="O35" i="3"/>
  <c r="O44" i="3"/>
  <c r="P44" i="3" s="1"/>
  <c r="O20" i="3"/>
  <c r="P20" i="3" s="1"/>
  <c r="O4" i="3"/>
  <c r="P4" i="3" s="1"/>
  <c r="O38" i="3"/>
  <c r="P38" i="3" s="1"/>
  <c r="O41" i="3"/>
  <c r="O33" i="3"/>
  <c r="O8" i="3"/>
  <c r="P8" i="3" s="1"/>
  <c r="O30" i="3"/>
  <c r="O16" i="3"/>
  <c r="P16" i="3" s="1"/>
  <c r="J8" i="1"/>
  <c r="J12" i="1"/>
  <c r="J15" i="1"/>
  <c r="P27" i="3"/>
  <c r="O54" i="3"/>
  <c r="P54" i="3" s="1"/>
  <c r="O46" i="3"/>
  <c r="P46" i="3" s="1"/>
  <c r="O36" i="3"/>
  <c r="P36" i="3" s="1"/>
  <c r="O10" i="3"/>
  <c r="P10" i="3" s="1"/>
  <c r="O39" i="3"/>
  <c r="P39" i="3" s="1"/>
  <c r="O18" i="3"/>
  <c r="P18" i="3" s="1"/>
  <c r="O37" i="3"/>
  <c r="P37" i="3" s="1"/>
  <c r="I6" i="1"/>
  <c r="J10" i="1"/>
  <c r="I14" i="1"/>
  <c r="H6" i="1"/>
  <c r="P19" i="3"/>
  <c r="P24" i="3"/>
  <c r="O12" i="3"/>
  <c r="P12" i="3" s="1"/>
  <c r="O21" i="3"/>
  <c r="P21" i="3" s="1"/>
  <c r="O7" i="3"/>
  <c r="P7" i="3" s="1"/>
  <c r="O6" i="3"/>
  <c r="P6" i="3" s="1"/>
  <c r="O49" i="3"/>
  <c r="P49" i="3" s="1"/>
  <c r="O53" i="3"/>
  <c r="P53" i="3" s="1"/>
  <c r="O29" i="3"/>
  <c r="P29" i="3" s="1"/>
  <c r="P35" i="3"/>
  <c r="O42" i="3"/>
  <c r="P42" i="3" s="1"/>
  <c r="O32" i="3"/>
  <c r="P32" i="3" s="1"/>
  <c r="O13" i="3"/>
  <c r="P13" i="3" s="1"/>
  <c r="O25" i="3"/>
  <c r="P25" i="3" s="1"/>
  <c r="O28" i="3"/>
  <c r="P28" i="3" s="1"/>
  <c r="O56" i="3"/>
  <c r="P56" i="3" s="1"/>
  <c r="O23" i="3"/>
  <c r="P23" i="3" s="1"/>
  <c r="P41" i="3"/>
  <c r="P33" i="3"/>
  <c r="P30" i="3"/>
  <c r="O55" i="3"/>
  <c r="P55" i="3" s="1"/>
  <c r="O45" i="3"/>
  <c r="O48" i="3"/>
  <c r="P48" i="3" s="1"/>
  <c r="O34" i="3"/>
  <c r="P34" i="3" s="1"/>
  <c r="O9" i="3"/>
  <c r="P9" i="3" s="1"/>
  <c r="O51" i="3"/>
  <c r="P51" i="3" s="1"/>
  <c r="O11" i="3"/>
  <c r="P11" i="3" s="1"/>
  <c r="O14" i="3"/>
  <c r="P14" i="3" s="1"/>
  <c r="O5" i="3"/>
  <c r="P5" i="3" s="1"/>
  <c r="O47" i="3"/>
  <c r="P47" i="3" s="1"/>
  <c r="O22" i="3"/>
  <c r="P22" i="3" s="1"/>
  <c r="O40" i="3"/>
  <c r="P40" i="3" s="1"/>
  <c r="O31" i="3"/>
  <c r="P31" i="3" s="1"/>
  <c r="E27" i="1"/>
  <c r="E16" i="7" a="1"/>
  <c r="E16" i="7" s="1"/>
  <c r="H13" i="7" a="1"/>
  <c r="H13" i="7" s="1"/>
  <c r="G9" i="7" a="1"/>
  <c r="G9" i="7" s="1"/>
  <c r="I7" i="7" a="1"/>
  <c r="I7" i="7" s="1"/>
  <c r="F13" i="7" a="1"/>
  <c r="F13" i="7" s="1"/>
  <c r="C9" i="7" a="1"/>
  <c r="C9" i="7" s="1"/>
  <c r="E7" i="7" a="1"/>
  <c r="E7" i="7" s="1"/>
  <c r="E13" i="7" a="1"/>
  <c r="E13" i="7" s="1"/>
  <c r="I8" i="7" a="1"/>
  <c r="I8" i="7" s="1"/>
  <c r="C7" i="7" a="1"/>
  <c r="C7" i="7" s="1"/>
  <c r="C18" i="7" a="1"/>
  <c r="C18" i="7" s="1"/>
  <c r="D13" i="7" a="1"/>
  <c r="D13" i="7" s="1"/>
  <c r="K13" i="7" a="1"/>
  <c r="K13" i="7" s="1"/>
  <c r="C13" i="7" a="1"/>
  <c r="C13" i="7" s="1"/>
  <c r="G8" i="7" a="1"/>
  <c r="G8" i="7" s="1"/>
  <c r="J13" i="7" a="1"/>
  <c r="J13" i="7" s="1"/>
  <c r="B13" i="7" a="1"/>
  <c r="B13" i="7" s="1"/>
  <c r="E8" i="7" a="1"/>
  <c r="E8" i="7" s="1"/>
  <c r="I13" i="7" a="1"/>
  <c r="I13" i="7" s="1"/>
  <c r="I9" i="7" a="1"/>
  <c r="I9" i="7" s="1"/>
  <c r="C8" i="7" a="1"/>
  <c r="C8" i="7" s="1"/>
  <c r="G13" i="7" a="1"/>
  <c r="G13" i="7" s="1"/>
  <c r="E9" i="7" a="1"/>
  <c r="E9" i="7" s="1"/>
  <c r="G7" i="7" a="1"/>
  <c r="G7" i="7" s="1"/>
  <c r="K6" i="1"/>
  <c r="H9" i="1"/>
  <c r="H15" i="1"/>
  <c r="H16" i="6" a="1"/>
  <c r="H16" i="6" s="1"/>
  <c r="E32" i="6"/>
  <c r="E33" i="6"/>
  <c r="K13" i="1"/>
  <c r="E34" i="6"/>
  <c r="E35" i="6"/>
  <c r="E36" i="6"/>
  <c r="F20" i="6" a="1"/>
  <c r="F20" i="6" s="1"/>
  <c r="B24" i="6" a="1"/>
  <c r="B24" i="6" s="1"/>
  <c r="E37" i="6"/>
  <c r="B20" i="6" a="1"/>
  <c r="B20" i="6" s="1"/>
  <c r="C20" i="6" a="1"/>
  <c r="C20" i="6" s="1"/>
  <c r="G20" i="6" a="1"/>
  <c r="G20" i="6" s="1"/>
  <c r="J24" i="6" a="1"/>
  <c r="J24" i="6" s="1"/>
  <c r="E38" i="6"/>
  <c r="I16" i="6" a="1"/>
  <c r="I16" i="6" s="1"/>
  <c r="H25" i="6" a="1"/>
  <c r="H25" i="6" s="1"/>
  <c r="B31" i="6" a="1"/>
  <c r="B31" i="6" s="1"/>
  <c r="B16" i="6" a="1"/>
  <c r="B16" i="6" s="1"/>
  <c r="J16" i="6" a="1"/>
  <c r="J16" i="6" s="1"/>
  <c r="K25" i="6" a="1"/>
  <c r="K25" i="6" s="1"/>
  <c r="C31" i="6" a="1"/>
  <c r="C31" i="6" s="1"/>
  <c r="F31" i="6"/>
  <c r="D31" i="6" a="1"/>
  <c r="D31" i="6" s="1"/>
  <c r="C16" i="6" a="1"/>
  <c r="C16" i="6" s="1"/>
  <c r="K16" i="6" a="1"/>
  <c r="K16" i="6" s="1"/>
  <c r="D16" i="6" a="1"/>
  <c r="D16" i="6" s="1"/>
  <c r="E16" i="6" a="1"/>
  <c r="E16" i="6" s="1"/>
  <c r="K24" i="6" a="1"/>
  <c r="K24" i="6" s="1"/>
  <c r="E27" i="6" a="1"/>
  <c r="E27" i="6" s="1"/>
  <c r="F16" i="6" a="1"/>
  <c r="F16" i="6" s="1"/>
  <c r="C32" i="6" a="1"/>
  <c r="C32" i="6" s="1"/>
  <c r="D32" i="6" a="1"/>
  <c r="D32" i="6" s="1"/>
  <c r="B32" i="6" a="1"/>
  <c r="B32" i="6" s="1"/>
  <c r="B35" i="6" a="1"/>
  <c r="B35" i="6" s="1"/>
  <c r="D35" i="6" a="1"/>
  <c r="D35" i="6" s="1"/>
  <c r="C35" i="6" a="1"/>
  <c r="C35" i="6" s="1"/>
  <c r="C33" i="6" a="1"/>
  <c r="C33" i="6" s="1"/>
  <c r="B33" i="6" a="1"/>
  <c r="B33" i="6" s="1"/>
  <c r="D33" i="6" a="1"/>
  <c r="D33" i="6" s="1"/>
  <c r="D34" i="6" a="1"/>
  <c r="D34" i="6" s="1"/>
  <c r="C34" i="6" a="1"/>
  <c r="C34" i="6" s="1"/>
  <c r="B34" i="6" a="1"/>
  <c r="B34" i="6" s="1"/>
  <c r="B37" i="6" a="1"/>
  <c r="B37" i="6" s="1"/>
  <c r="D37" i="6" a="1"/>
  <c r="D37" i="6" s="1"/>
  <c r="C37" i="6" a="1"/>
  <c r="C37" i="6" s="1"/>
  <c r="C36" i="6" a="1"/>
  <c r="C36" i="6" s="1"/>
  <c r="D36" i="6" a="1"/>
  <c r="D36" i="6" s="1"/>
  <c r="B36" i="6" a="1"/>
  <c r="B36" i="6" s="1"/>
  <c r="C38" i="6" a="1"/>
  <c r="C38" i="6" s="1"/>
  <c r="D38" i="6" a="1"/>
  <c r="D38" i="6" s="1"/>
  <c r="B38" i="6" a="1"/>
  <c r="B38" i="6" s="1"/>
  <c r="K22" i="6" a="1"/>
  <c r="K22" i="6" s="1"/>
  <c r="G22" i="6" a="1"/>
  <c r="G22" i="6" s="1"/>
  <c r="C22" i="6" a="1"/>
  <c r="C22" i="6" s="1"/>
  <c r="J22" i="6" a="1"/>
  <c r="J22" i="6" s="1"/>
  <c r="F22" i="6" a="1"/>
  <c r="F22" i="6" s="1"/>
  <c r="B22" i="6" a="1"/>
  <c r="B22" i="6" s="1"/>
  <c r="I22" i="6" a="1"/>
  <c r="I22" i="6" s="1"/>
  <c r="H22" i="6" a="1"/>
  <c r="H22" i="6" s="1"/>
  <c r="D22" i="6" a="1"/>
  <c r="D22" i="6" s="1"/>
  <c r="E22" i="6" a="1"/>
  <c r="E22" i="6" s="1"/>
  <c r="J17" i="6" a="1"/>
  <c r="J17" i="6" s="1"/>
  <c r="F17" i="6" a="1"/>
  <c r="F17" i="6" s="1"/>
  <c r="B17" i="6" a="1"/>
  <c r="B17" i="6" s="1"/>
  <c r="I17" i="6" a="1"/>
  <c r="I17" i="6" s="1"/>
  <c r="E17" i="6" a="1"/>
  <c r="E17" i="6" s="1"/>
  <c r="H17" i="6" a="1"/>
  <c r="H17" i="6" s="1"/>
  <c r="G17" i="6" a="1"/>
  <c r="G17" i="6" s="1"/>
  <c r="D17" i="6" a="1"/>
  <c r="D17" i="6" s="1"/>
  <c r="C17" i="6" a="1"/>
  <c r="C17" i="6" s="1"/>
  <c r="K17" i="6" a="1"/>
  <c r="K17" i="6" s="1"/>
  <c r="K26" i="6" a="1"/>
  <c r="K26" i="6" s="1"/>
  <c r="G26" i="6" a="1"/>
  <c r="G26" i="6" s="1"/>
  <c r="C26" i="6" a="1"/>
  <c r="C26" i="6" s="1"/>
  <c r="J26" i="6" a="1"/>
  <c r="J26" i="6" s="1"/>
  <c r="F26" i="6" a="1"/>
  <c r="F26" i="6" s="1"/>
  <c r="B26" i="6" a="1"/>
  <c r="B26" i="6" s="1"/>
  <c r="I26" i="6" a="1"/>
  <c r="I26" i="6" s="1"/>
  <c r="E26" i="6" a="1"/>
  <c r="E26" i="6" s="1"/>
  <c r="H26" i="6" a="1"/>
  <c r="H26" i="6" s="1"/>
  <c r="D26" i="6" a="1"/>
  <c r="D26" i="6" s="1"/>
  <c r="K18" i="6" a="1"/>
  <c r="K18" i="6" s="1"/>
  <c r="G18" i="6" a="1"/>
  <c r="G18" i="6" s="1"/>
  <c r="C18" i="6" a="1"/>
  <c r="C18" i="6" s="1"/>
  <c r="J18" i="6" a="1"/>
  <c r="J18" i="6" s="1"/>
  <c r="F18" i="6" a="1"/>
  <c r="F18" i="6" s="1"/>
  <c r="B18" i="6" a="1"/>
  <c r="B18" i="6" s="1"/>
  <c r="E18" i="6" a="1"/>
  <c r="E18" i="6" s="1"/>
  <c r="D18" i="6" a="1"/>
  <c r="D18" i="6" s="1"/>
  <c r="I18" i="6" a="1"/>
  <c r="I18" i="6" s="1"/>
  <c r="H18" i="6" a="1"/>
  <c r="H18" i="6" s="1"/>
  <c r="J21" i="6" a="1"/>
  <c r="J21" i="6" s="1"/>
  <c r="F21" i="6" a="1"/>
  <c r="F21" i="6" s="1"/>
  <c r="B21" i="6" a="1"/>
  <c r="B21" i="6" s="1"/>
  <c r="I21" i="6" a="1"/>
  <c r="I21" i="6" s="1"/>
  <c r="E21" i="6" a="1"/>
  <c r="E21" i="6" s="1"/>
  <c r="K21" i="6" a="1"/>
  <c r="K21" i="6" s="1"/>
  <c r="C21" i="6" a="1"/>
  <c r="C21" i="6" s="1"/>
  <c r="G21" i="6" a="1"/>
  <c r="G21" i="6" s="1"/>
  <c r="H21" i="6" a="1"/>
  <c r="H21" i="6" s="1"/>
  <c r="D21" i="6" a="1"/>
  <c r="D21" i="6" s="1"/>
  <c r="H19" i="6" a="1"/>
  <c r="H19" i="6" s="1"/>
  <c r="D19" i="6" a="1"/>
  <c r="D19" i="6" s="1"/>
  <c r="K19" i="6" a="1"/>
  <c r="K19" i="6" s="1"/>
  <c r="G19" i="6" a="1"/>
  <c r="G19" i="6" s="1"/>
  <c r="C19" i="6" a="1"/>
  <c r="C19" i="6" s="1"/>
  <c r="H23" i="6" a="1"/>
  <c r="H23" i="6" s="1"/>
  <c r="D23" i="6" a="1"/>
  <c r="D23" i="6" s="1"/>
  <c r="K23" i="6" a="1"/>
  <c r="K23" i="6" s="1"/>
  <c r="G23" i="6" a="1"/>
  <c r="G23" i="6" s="1"/>
  <c r="C23" i="6" a="1"/>
  <c r="C23" i="6" s="1"/>
  <c r="I19" i="6" a="1"/>
  <c r="I19" i="6" s="1"/>
  <c r="J25" i="6" a="1"/>
  <c r="J25" i="6" s="1"/>
  <c r="F25" i="6" a="1"/>
  <c r="F25" i="6" s="1"/>
  <c r="B25" i="6" a="1"/>
  <c r="B25" i="6" s="1"/>
  <c r="I25" i="6" a="1"/>
  <c r="I25" i="6" s="1"/>
  <c r="E25" i="6" a="1"/>
  <c r="E25" i="6" s="1"/>
  <c r="F19" i="6" a="1"/>
  <c r="F19" i="6" s="1"/>
  <c r="B23" i="6" a="1"/>
  <c r="B23" i="6" s="1"/>
  <c r="E23" i="6" a="1"/>
  <c r="E23" i="6" s="1"/>
  <c r="I24" i="6" a="1"/>
  <c r="I24" i="6" s="1"/>
  <c r="E24" i="6" a="1"/>
  <c r="E24" i="6" s="1"/>
  <c r="H24" i="6" a="1"/>
  <c r="H24" i="6" s="1"/>
  <c r="D24" i="6" a="1"/>
  <c r="D24" i="6" s="1"/>
  <c r="I20" i="6" a="1"/>
  <c r="I20" i="6" s="1"/>
  <c r="E20" i="6" a="1"/>
  <c r="E20" i="6" s="1"/>
  <c r="H20" i="6" a="1"/>
  <c r="H20" i="6" s="1"/>
  <c r="D20" i="6" a="1"/>
  <c r="D20" i="6" s="1"/>
  <c r="F23" i="6" a="1"/>
  <c r="F23" i="6" s="1"/>
  <c r="F24" i="6" a="1"/>
  <c r="F24" i="6" s="1"/>
  <c r="B19" i="6" a="1"/>
  <c r="B19" i="6" s="1"/>
  <c r="J19" i="6" a="1"/>
  <c r="J19" i="6" s="1"/>
  <c r="I23" i="6" a="1"/>
  <c r="I23" i="6" s="1"/>
  <c r="D25" i="6" a="1"/>
  <c r="D25" i="6" s="1"/>
  <c r="G24" i="6" a="1"/>
  <c r="G24" i="6" s="1"/>
  <c r="G25" i="6" a="1"/>
  <c r="G25" i="6" s="1"/>
  <c r="H27" i="6" a="1"/>
  <c r="H27" i="6" s="1"/>
  <c r="D27" i="6" a="1"/>
  <c r="D27" i="6" s="1"/>
  <c r="K27" i="6" a="1"/>
  <c r="K27" i="6" s="1"/>
  <c r="G27" i="6" a="1"/>
  <c r="G27" i="6" s="1"/>
  <c r="C27" i="6" a="1"/>
  <c r="C27" i="6" s="1"/>
  <c r="J27" i="6" a="1"/>
  <c r="J27" i="6" s="1"/>
  <c r="F27" i="6" a="1"/>
  <c r="F27" i="6" s="1"/>
  <c r="B27" i="6" a="1"/>
  <c r="B27" i="6" s="1"/>
  <c r="I7" i="4"/>
  <c r="I8" i="4"/>
  <c r="H8" i="1"/>
  <c r="I9" i="1"/>
  <c r="I15" i="1"/>
  <c r="H7" i="1"/>
  <c r="K7" i="1" s="1"/>
  <c r="I8" i="1"/>
  <c r="H14" i="1"/>
  <c r="K14" i="1" s="1"/>
  <c r="I6" i="4"/>
  <c r="H12" i="1"/>
  <c r="H17" i="1"/>
  <c r="I12" i="1"/>
  <c r="I17" i="1"/>
  <c r="K10" i="1" l="1"/>
  <c r="AE8" i="2"/>
  <c r="AH8" i="2" s="1"/>
  <c r="AE6" i="2"/>
  <c r="AH6" i="2" s="1"/>
  <c r="AF5" i="2"/>
  <c r="AG5" i="2" s="1"/>
  <c r="AE4" i="2"/>
  <c r="AH4" i="2" s="1"/>
  <c r="AE9" i="2"/>
  <c r="AH9" i="2" s="1"/>
  <c r="AF4" i="2"/>
  <c r="AG4" i="2" s="1"/>
  <c r="I18" i="7" s="1" a="1"/>
  <c r="I18" i="7" s="1"/>
  <c r="P45" i="3"/>
  <c r="AE10" i="2"/>
  <c r="AH10" i="2" s="1"/>
  <c r="AE5" i="2"/>
  <c r="AH5" i="2" s="1"/>
  <c r="I4" i="4"/>
  <c r="K15" i="1"/>
  <c r="B15" i="1"/>
  <c r="K9" i="1"/>
  <c r="B18" i="1"/>
  <c r="B16" i="1"/>
  <c r="C16" i="7" a="1"/>
  <c r="C16" i="7" s="1"/>
  <c r="I16" i="7" a="1"/>
  <c r="I16" i="7" s="1"/>
  <c r="O30" i="7" a="1"/>
  <c r="O30" i="7" s="1"/>
  <c r="O23" i="7" a="1"/>
  <c r="O23" i="7" s="1"/>
  <c r="O28" i="7" a="1"/>
  <c r="O28" i="7" s="1"/>
  <c r="O27" i="7" a="1"/>
  <c r="O27" i="7" s="1"/>
  <c r="O26" i="7" a="1"/>
  <c r="O26" i="7" s="1"/>
  <c r="O25" i="7" a="1"/>
  <c r="O25" i="7" s="1"/>
  <c r="O22" i="7" a="1"/>
  <c r="O22" i="7" s="1"/>
  <c r="C31" i="7"/>
  <c r="O24" i="7" a="1"/>
  <c r="O24" i="7" s="1"/>
  <c r="O29" i="7" a="1"/>
  <c r="O29" i="7" s="1"/>
  <c r="G16" i="7" a="1"/>
  <c r="G16" i="7" s="1"/>
  <c r="K8" i="1"/>
  <c r="B13" i="1"/>
  <c r="K17" i="1"/>
  <c r="K12" i="1"/>
  <c r="E18" i="7" l="1" a="1"/>
  <c r="E18" i="7" s="1"/>
  <c r="E28" i="1"/>
  <c r="G18" i="7" a="1"/>
  <c r="G18" i="7" s="1"/>
  <c r="E25" i="7"/>
  <c r="C25" i="7" a="1"/>
  <c r="C25" i="7" s="1"/>
  <c r="B25" i="7" a="1"/>
  <c r="B25" i="7" s="1"/>
  <c r="F25" i="7"/>
  <c r="D25" i="7" a="1"/>
  <c r="D25" i="7" s="1"/>
  <c r="E26" i="7"/>
  <c r="C26" i="7" a="1"/>
  <c r="C26" i="7" s="1"/>
  <c r="B26" i="7" a="1"/>
  <c r="B26" i="7" s="1"/>
  <c r="F26" i="7"/>
  <c r="D26" i="7" a="1"/>
  <c r="D26" i="7" s="1"/>
  <c r="C27" i="7" a="1"/>
  <c r="C27" i="7" s="1"/>
  <c r="E27" i="7"/>
  <c r="D27" i="7" a="1"/>
  <c r="D27" i="7" s="1"/>
  <c r="F27" i="7"/>
  <c r="B27" i="7" a="1"/>
  <c r="B27" i="7" s="1"/>
  <c r="E29" i="7"/>
  <c r="F29" i="7"/>
  <c r="D29" i="7" a="1"/>
  <c r="D29" i="7" s="1"/>
  <c r="C29" i="7" a="1"/>
  <c r="C29" i="7" s="1"/>
  <c r="B29" i="7" a="1"/>
  <c r="B29" i="7" s="1"/>
  <c r="E28" i="7"/>
  <c r="C28" i="7" a="1"/>
  <c r="C28" i="7" s="1"/>
  <c r="B28" i="7" a="1"/>
  <c r="B28" i="7" s="1"/>
  <c r="F28" i="7"/>
  <c r="D28" i="7" a="1"/>
  <c r="D28" i="7" s="1"/>
  <c r="E23" i="7"/>
  <c r="F23" i="7"/>
  <c r="D23" i="7" a="1"/>
  <c r="D23" i="7" s="1"/>
  <c r="C23" i="7" a="1"/>
  <c r="C23" i="7" s="1"/>
  <c r="B23" i="7" a="1"/>
  <c r="B23" i="7" s="1"/>
  <c r="E30" i="7"/>
  <c r="B30" i="7" a="1"/>
  <c r="B30" i="7" s="1"/>
  <c r="F30" i="7"/>
  <c r="D30" i="7" a="1"/>
  <c r="D30" i="7" s="1"/>
  <c r="C30" i="7" a="1"/>
  <c r="C30" i="7" s="1"/>
  <c r="E24" i="7"/>
  <c r="C24" i="7" a="1"/>
  <c r="C24" i="7" s="1"/>
  <c r="F24" i="7"/>
  <c r="B24" i="7" a="1"/>
  <c r="B24" i="7" s="1"/>
  <c r="D24" i="7" a="1"/>
  <c r="D24" i="7" s="1"/>
  <c r="F22" i="7"/>
  <c r="D22" i="7" a="1"/>
  <c r="D22" i="7" s="1"/>
  <c r="C22" i="7" a="1"/>
  <c r="C22" i="7" s="1"/>
  <c r="B22" i="7" a="1"/>
  <c r="B22" i="7" s="1"/>
  <c r="E22" i="7"/>
  <c r="B22" i="1"/>
  <c r="B23" i="1"/>
  <c r="B21" i="1" l="1"/>
  <c r="B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معهد ألفا</author>
  </authors>
  <commentList>
    <comment ref="A3" authorId="0" shapeId="0" xr:uid="{00000000-0006-0000-0100-000001000000}">
      <text>
        <r>
          <rPr>
            <sz val="11"/>
            <color theme="1"/>
            <rFont val="Arial"/>
            <family val="2"/>
            <scheme val="minor"/>
          </rPr>
          <t>يتولد آلياً لكل صف — لا يُكتب</t>
        </r>
      </text>
    </comment>
    <comment ref="B3" authorId="0" shapeId="0" xr:uid="{00000000-0006-0000-0100-000002000000}">
      <text>
        <r>
          <rPr>
            <sz val="11"/>
            <color theme="1"/>
            <rFont val="Arial"/>
            <family val="2"/>
            <scheme val="minor"/>
          </rPr>
          <t>اسم الطالب. لمادة إضافية: كرر نفس الاسم في صف جديد</t>
        </r>
      </text>
    </comment>
    <comment ref="E3" authorId="0" shapeId="0" xr:uid="{00000000-0006-0000-0100-000003000000}">
      <text>
        <r>
          <rPr>
            <sz val="11"/>
            <color theme="1"/>
            <rFont val="Arial"/>
            <family val="2"/>
            <scheme val="minor"/>
          </rPr>
          <t>تحدد سعر الساعة ونسبة المعلم وقائمة المواد</t>
        </r>
      </text>
    </comment>
    <comment ref="F3" authorId="0" shapeId="0" xr:uid="{00000000-0006-0000-0100-000004000000}">
      <text>
        <r>
          <rPr>
            <sz val="11"/>
            <color theme="1"/>
            <rFont val="Arial"/>
            <family val="2"/>
            <scheme val="minor"/>
          </rPr>
          <t>0 = قبل المدرسة … 13 = جامعة/معاهد</t>
        </r>
      </text>
    </comment>
    <comment ref="I3" authorId="0" shapeId="0" xr:uid="{00000000-0006-0000-0100-000005000000}">
      <text>
        <r>
          <rPr>
            <sz val="11"/>
            <color theme="1"/>
            <rFont val="Arial"/>
            <family val="2"/>
            <scheme val="minor"/>
          </rPr>
          <t>القائمة تتبع المحافظة المختارة</t>
        </r>
      </text>
    </comment>
    <comment ref="L3" authorId="0" shapeId="0" xr:uid="{00000000-0006-0000-0100-000006000000}">
      <text>
        <r>
          <rPr>
            <sz val="11"/>
            <color theme="1"/>
            <rFont val="Arial"/>
            <family val="2"/>
            <scheme val="minor"/>
          </rPr>
          <t>يُختم آلياً عند كتابة الاسم — لا تعدّله</t>
        </r>
      </text>
    </comment>
    <comment ref="M3" authorId="0" shapeId="0" xr:uid="{00000000-0006-0000-0100-000007000000}">
      <text>
        <r>
          <rPr>
            <sz val="11"/>
            <color theme="1"/>
            <rFont val="Arial"/>
            <family val="2"/>
            <scheme val="minor"/>
          </rPr>
          <t>ركيزة الحساب: ساعات الباقة المشتراة. تُكتب مرة واحدة في أي صف من صفوف الطالب، وأي شراء لاحق يُضاف ويُجمع آلياً</t>
        </r>
      </text>
    </comment>
    <comment ref="N3" authorId="0" shapeId="0" xr:uid="{00000000-0006-0000-0100-000008000000}">
      <text>
        <r>
          <rPr>
            <sz val="11"/>
            <color theme="1"/>
            <rFont val="Arial"/>
            <family val="2"/>
            <scheme val="minor"/>
          </rPr>
          <t>ركيزة الحساب: قيمة اشتراك الطالب. يُكتب مرة في أي صف ويُجمع آلياً عبر كل صفوفه</t>
        </r>
      </text>
    </comment>
    <comment ref="O3" authorId="0" shapeId="0" xr:uid="{00000000-0006-0000-0100-000009000000}">
      <text>
        <r>
          <rPr>
            <sz val="11"/>
            <color theme="1"/>
            <rFont val="Arial"/>
            <family val="2"/>
            <scheme val="minor"/>
          </rPr>
          <t>ما دفعه الطالب فعلياً — يُجمع آلياً عبر كل صفوفه</t>
        </r>
      </text>
    </comment>
    <comment ref="P3" authorId="0" shapeId="0" xr:uid="{00000000-0006-0000-0100-00000A000000}">
      <text>
        <r>
          <rPr>
            <sz val="11"/>
            <color theme="1"/>
            <rFont val="Arial"/>
            <family val="2"/>
            <scheme val="minor"/>
          </rPr>
          <t>القائمة تتبع المرحلة المختارة</t>
        </r>
      </text>
    </comment>
    <comment ref="Q3" authorId="0" shapeId="0" xr:uid="{00000000-0006-0000-0100-00000B000000}">
      <text>
        <r>
          <rPr>
            <sz val="11"/>
            <color theme="1"/>
            <rFont val="Arial"/>
            <family val="2"/>
            <scheme val="minor"/>
          </rPr>
          <t>قائمة من ورقة المعلمين — الربط آلي</t>
        </r>
      </text>
    </comment>
    <comment ref="Y3" authorId="0" shapeId="0" xr:uid="{00000000-0006-0000-0100-00000C000000}">
      <text>
        <r>
          <rPr>
            <sz val="11"/>
            <color theme="1"/>
            <rFont val="Arial"/>
            <family val="2"/>
            <scheme val="minor"/>
          </rPr>
          <t>آلي: مجموع مدد الجدول الأسبوعي</t>
        </r>
      </text>
    </comment>
    <comment ref="Z3" authorId="0" shapeId="0" xr:uid="{00000000-0006-0000-0100-00000D000000}">
      <text>
        <r>
          <rPr>
            <sz val="11"/>
            <color theme="1"/>
            <rFont val="Arial"/>
            <family val="2"/>
            <scheme val="minor"/>
          </rPr>
          <t>تُكتب في صف المادة المعنية — تُخصم من رصيد الطالب الموحد وتحدد مستحق معلم هذه المادة</t>
        </r>
      </text>
    </comment>
    <comment ref="AE3" authorId="0" shapeId="0" xr:uid="{00000000-0006-0000-0100-00000E000000}">
      <text>
        <r>
          <rPr>
            <sz val="11"/>
            <color theme="1"/>
            <rFont val="Arial"/>
            <family val="2"/>
            <scheme val="minor"/>
          </rPr>
          <t>آلي: مجموع اشتراكاته − مجموع استهلاكه عبر كل مواده. رقم موحد في كل صفوفه</t>
        </r>
      </text>
    </comment>
    <comment ref="AF3" authorId="0" shapeId="0" xr:uid="{00000000-0006-0000-0100-00000F000000}">
      <text>
        <r>
          <rPr>
            <sz val="11"/>
            <color theme="1"/>
            <rFont val="Arial"/>
            <family val="2"/>
            <scheme val="minor"/>
          </rPr>
          <t>آلي: مجموع المبلغ الكلي − مجموع المدفوع عبر كل صفوفه. موحد للطالب</t>
        </r>
      </text>
    </comment>
    <comment ref="AG3" authorId="0" shapeId="0" xr:uid="{00000000-0006-0000-0100-000010000000}">
      <text>
        <r>
          <rPr>
            <sz val="11"/>
            <color theme="1"/>
            <rFont val="Arial"/>
            <family val="2"/>
            <scheme val="minor"/>
          </rPr>
          <t>آلي: تتلون حسب المبلغ المتبقي</t>
        </r>
      </text>
    </comment>
    <comment ref="AH3" authorId="0" shapeId="0" xr:uid="{00000000-0006-0000-0100-000011000000}">
      <text>
        <r>
          <rPr>
            <sz val="11"/>
            <color theme="1"/>
            <rFont val="Arial"/>
            <family val="2"/>
            <scheme val="minor"/>
          </rPr>
          <t>آلي: ينبه عند شارفة الرصيد على النفاد أو تجاوزه</t>
        </r>
      </text>
    </comment>
    <comment ref="AI3" authorId="0" shapeId="0" xr:uid="{00000000-0006-0000-0100-000012000000}">
      <text>
        <r>
          <rPr>
            <sz val="11"/>
            <color theme="1"/>
            <rFont val="Arial"/>
            <family val="2"/>
            <scheme val="minor"/>
          </rPr>
          <t>آلي: الساعات المستهلكة × سعر المرحلة × 75%</t>
        </r>
      </text>
    </comment>
    <comment ref="AJ3" authorId="0" shapeId="0" xr:uid="{00000000-0006-0000-0100-000013000000}">
      <text>
        <r>
          <rPr>
            <sz val="11"/>
            <color theme="1"/>
            <rFont val="Arial"/>
            <family val="2"/>
            <scheme val="minor"/>
          </rPr>
          <t>علامة آلية لأول صف للطالب — تمنع تكرار الحساب في لوحة التحكم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معهد ألفا</author>
  </authors>
  <commentList>
    <comment ref="B3" authorId="0" shapeId="0" xr:uid="{00000000-0006-0000-0200-000001000000}">
      <text>
        <r>
          <rPr>
            <sz val="11"/>
            <color theme="1"/>
            <rFont val="Arial"/>
            <family val="2"/>
            <scheme val="minor"/>
          </rPr>
          <t>اسم الطالب. لمادة إضافية: كرر نفس الاسم في صف جديد</t>
        </r>
      </text>
    </comment>
    <comment ref="H3" authorId="0" shapeId="0" xr:uid="{00000000-0006-0000-0200-000002000000}">
      <text>
        <r>
          <rPr>
            <sz val="11"/>
            <color theme="1"/>
            <rFont val="Arial"/>
            <family val="2"/>
            <scheme val="minor"/>
          </rPr>
          <t>يحدثه النظام آلياً من صفوف الطلاب</t>
        </r>
      </text>
    </comment>
    <comment ref="I3" authorId="0" shapeId="0" xr:uid="{00000000-0006-0000-0200-000003000000}">
      <text>
        <r>
          <rPr>
            <sz val="11"/>
            <color theme="1"/>
            <rFont val="Arial"/>
            <family val="2"/>
            <scheme val="minor"/>
          </rPr>
          <t>آلي: عدد صفوف الطلاب المرتبطة بهذا المعلم</t>
        </r>
      </text>
    </comment>
    <comment ref="J3" authorId="0" shapeId="0" xr:uid="{00000000-0006-0000-0200-000004000000}">
      <text>
        <r>
          <rPr>
            <sz val="11"/>
            <color theme="1"/>
            <rFont val="Arial"/>
            <family val="2"/>
            <scheme val="minor"/>
          </rPr>
          <t>آلي: عدد الطلاب بلا تكرار</t>
        </r>
      </text>
    </comment>
    <comment ref="K3" authorId="0" shapeId="0" xr:uid="{00000000-0006-0000-0200-000005000000}">
      <text>
        <r>
          <rPr>
            <sz val="11"/>
            <color theme="1"/>
            <rFont val="Arial"/>
            <family val="2"/>
            <scheme val="minor"/>
          </rPr>
          <t>آلي: مجموع المستهلك في صفوف طلابه</t>
        </r>
      </text>
    </comment>
    <comment ref="L3" authorId="0" shapeId="0" xr:uid="{00000000-0006-0000-0200-000006000000}">
      <text>
        <r>
          <rPr>
            <sz val="11"/>
            <color theme="1"/>
            <rFont val="Arial"/>
            <family val="2"/>
            <scheme val="minor"/>
          </rPr>
          <t>آلي: مجموع مستحقاته من صفوف الطلاب</t>
        </r>
      </text>
    </comment>
    <comment ref="M3" authorId="0" shapeId="0" xr:uid="{00000000-0006-0000-0200-000007000000}">
      <text>
        <r>
          <rPr>
            <sz val="11"/>
            <color theme="1"/>
            <rFont val="Arial"/>
            <family val="2"/>
            <scheme val="minor"/>
          </rPr>
          <t>يدوي: 1 د.ك عن كل مشوار بسيارة المعهد</t>
        </r>
      </text>
    </comment>
    <comment ref="N3" authorId="0" shapeId="0" xr:uid="{00000000-0006-0000-0200-000008000000}">
      <text>
        <r>
          <rPr>
            <sz val="11"/>
            <color theme="1"/>
            <rFont val="Arial"/>
            <family val="2"/>
            <scheme val="minor"/>
          </rPr>
          <t>آلي: المستحق − خصم المواصلات</t>
        </r>
      </text>
    </comment>
    <comment ref="O3" authorId="0" shapeId="0" xr:uid="{00000000-0006-0000-0200-000009000000}">
      <text>
        <r>
          <rPr>
            <sz val="11"/>
            <color theme="1"/>
            <rFont val="Arial"/>
            <family val="2"/>
            <scheme val="minor"/>
          </rPr>
          <t>آلي: مجموع (دفعة معلم) باسمه من الحركات المالية</t>
        </r>
      </text>
    </comment>
    <comment ref="P3" authorId="0" shapeId="0" xr:uid="{00000000-0006-0000-0200-00000A000000}">
      <text>
        <r>
          <rPr>
            <sz val="11"/>
            <color theme="1"/>
            <rFont val="Arial"/>
            <family val="2"/>
            <scheme val="minor"/>
          </rPr>
          <t>آلي: صافي المستحق − المدفوع له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معهد ألفا</author>
  </authors>
  <commentList>
    <comment ref="C3" authorId="0" shapeId="0" xr:uid="{00000000-0006-0000-0300-000001000000}">
      <text>
        <r>
          <rPr>
            <sz val="11"/>
            <color theme="1"/>
            <rFont val="Arial"/>
            <family val="2"/>
            <scheme val="minor"/>
          </rPr>
          <t>دفعة طالب / دفعة معلم / مصروف</t>
        </r>
      </text>
    </comment>
    <comment ref="D3" authorId="0" shapeId="0" xr:uid="{00000000-0006-0000-0300-000002000000}">
      <text>
        <r>
          <rPr>
            <sz val="11"/>
            <color theme="1"/>
            <rFont val="Arial"/>
            <family val="2"/>
            <scheme val="minor"/>
          </rPr>
          <t>القائمة تتبع النوع: طلاب للدفعات، معلمون للرواتب</t>
        </r>
      </text>
    </comment>
    <comment ref="I3" authorId="0" shapeId="0" xr:uid="{00000000-0006-0000-0300-000003000000}">
      <text>
        <r>
          <rPr>
            <sz val="11"/>
            <color theme="1"/>
            <rFont val="Arial"/>
            <family val="2"/>
            <scheme val="minor"/>
          </rPr>
          <t>آلي: رصيد الشخص المتبقي بعد كل الحركات</t>
        </r>
      </text>
    </comment>
    <comment ref="J3" authorId="0" shapeId="0" xr:uid="{00000000-0006-0000-0300-000004000000}">
      <text>
        <r>
          <rPr>
            <sz val="11"/>
            <color theme="1"/>
            <rFont val="Arial"/>
            <family val="2"/>
            <scheme val="minor"/>
          </rPr>
          <t>آلي: يكشف الإدخال الناقص أو الخاطئ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<sst xmlns="http://schemas.openxmlformats.org/spreadsheetml/2006/main" count="902" uniqueCount="537">
  <si>
    <t>لوحة التحكم — معهد ألفا</t>
  </si>
  <si>
    <t>المؤشرات</t>
  </si>
  <si>
    <t>🔍 بحث عن طالب (الاسم أو الهاتف)</t>
  </si>
  <si>
    <t>التقرير الشهري</t>
  </si>
  <si>
    <t>عدد التسجيلات</t>
  </si>
  <si>
    <t>أدخل الاسم أو الهاتف</t>
  </si>
  <si>
    <t>الشهر</t>
  </si>
  <si>
    <t>المحصّل</t>
  </si>
  <si>
    <t>مدفوعات المعلمين</t>
  </si>
  <si>
    <t>المصروفات</t>
  </si>
  <si>
    <t>صافي التدفق</t>
  </si>
  <si>
    <t>عدد الطلاب (بلا تكرار)</t>
  </si>
  <si>
    <t>المرحلة</t>
  </si>
  <si>
    <t>يناير</t>
  </si>
  <si>
    <t>المعلمون النشطون</t>
  </si>
  <si>
    <t>المحافظة</t>
  </si>
  <si>
    <t>فبراير</t>
  </si>
  <si>
    <t>الساعات المستهلكة</t>
  </si>
  <si>
    <t>المنطقة</t>
  </si>
  <si>
    <t>مارس</t>
  </si>
  <si>
    <t>الساعات المتبقية</t>
  </si>
  <si>
    <t>العنوان</t>
  </si>
  <si>
    <t>أبريل</t>
  </si>
  <si>
    <t>المالية</t>
  </si>
  <si>
    <t>المادة</t>
  </si>
  <si>
    <t>مايو</t>
  </si>
  <si>
    <t>إجمالي المستحق على الطلاب</t>
  </si>
  <si>
    <t>المعلم</t>
  </si>
  <si>
    <t>يونيو</t>
  </si>
  <si>
    <t>إجمالي المدفوع من الطلاب</t>
  </si>
  <si>
    <t>يوليو</t>
  </si>
  <si>
    <t>المتبقي على الطلاب</t>
  </si>
  <si>
    <t>المبلغ المتبقي</t>
  </si>
  <si>
    <t>أغسطس</t>
  </si>
  <si>
    <t>صافي مستحقات المعلمين</t>
  </si>
  <si>
    <t>حالة الدفع</t>
  </si>
  <si>
    <t>سبتمبر</t>
  </si>
  <si>
    <t>المدفوع للمعلمين</t>
  </si>
  <si>
    <t>أكتوبر</t>
  </si>
  <si>
    <t>المتبقي للمعلمين</t>
  </si>
  <si>
    <t>نوفمبر</t>
  </si>
  <si>
    <t>🔎 تصفية</t>
  </si>
  <si>
    <t>ديسمبر</t>
  </si>
  <si>
    <t>صافي أرباح المعهد</t>
  </si>
  <si>
    <t>التنبيهات</t>
  </si>
  <si>
    <t>❌ لم يدفعوا</t>
  </si>
  <si>
    <t>🟠 دفع جزئي</t>
  </si>
  <si>
    <t>⚠ رصيد ساعات شارف على النفاد</t>
  </si>
  <si>
    <t>⚠ تجاوز الساعات المسجلة</t>
  </si>
  <si>
    <t>المستحق</t>
  </si>
  <si>
    <t>المدفوع</t>
  </si>
  <si>
    <t>المتبقي</t>
  </si>
  <si>
    <t>مستحق المعلمين</t>
  </si>
  <si>
    <t>الطلاب — الورقة الأم: ساعات الاشتراك والمبلغ الكلي هما ركيزتا الحساب</t>
  </si>
  <si>
    <t>رقم التسجيل</t>
  </si>
  <si>
    <t>الاسم</t>
  </si>
  <si>
    <t>الهاتف</t>
  </si>
  <si>
    <t>هاتف ولي الأمر</t>
  </si>
  <si>
    <t>الصف</t>
  </si>
  <si>
    <t>المنهج</t>
  </si>
  <si>
    <t>مجموعة الإخوة</t>
  </si>
  <si>
    <t>تاريخ التسجيل</t>
  </si>
  <si>
    <t>ساعات الاشتراك (إضافة)</t>
  </si>
  <si>
    <t>المبلغ الكلي (إضافة)</t>
  </si>
  <si>
    <t>المبلغ المدفوع (إضافة)</t>
  </si>
  <si>
    <t>اليوم 1</t>
  </si>
  <si>
    <t>من (1)</t>
  </si>
  <si>
    <t>إلى (1)</t>
  </si>
  <si>
    <t>اليوم 2</t>
  </si>
  <si>
    <t>من (2)</t>
  </si>
  <si>
    <t>إلى (2)</t>
  </si>
  <si>
    <t>ساعات الأسبوع</t>
  </si>
  <si>
    <t>_رصيد كلي</t>
  </si>
  <si>
    <t>_مستهلك كلي</t>
  </si>
  <si>
    <t>_إجمالي مستحق</t>
  </si>
  <si>
    <t>_إجمالي مدفوع</t>
  </si>
  <si>
    <t>تنبيه الرصيد</t>
  </si>
  <si>
    <t>مستحق المعلم</t>
  </si>
  <si>
    <t>صف رئيسي</t>
  </si>
  <si>
    <t>ملاحظات</t>
  </si>
  <si>
    <t>عبدالله ناصر المطيري</t>
  </si>
  <si>
    <t>60011122</t>
  </si>
  <si>
    <t>99011122</t>
  </si>
  <si>
    <t>المتوسطة</t>
  </si>
  <si>
    <t>7</t>
  </si>
  <si>
    <t>وزاري (عربي)</t>
  </si>
  <si>
    <t>حولي</t>
  </si>
  <si>
    <t>الجابرية</t>
  </si>
  <si>
    <t>ق4 ش7 م12</t>
  </si>
  <si>
    <t>FAM-01</t>
  </si>
  <si>
    <t>رياضيات</t>
  </si>
  <si>
    <t>أحمد خالد الرشيدي</t>
  </si>
  <si>
    <t>الأربعاء</t>
  </si>
  <si>
    <t>الجمعة</t>
  </si>
  <si>
    <t>لغة إنجليزية</t>
  </si>
  <si>
    <t>نورة فهد العجمي</t>
  </si>
  <si>
    <t>الخميس</t>
  </si>
  <si>
    <t>دانة ناصر المطيري</t>
  </si>
  <si>
    <t>60011133</t>
  </si>
  <si>
    <t>الابتدائية</t>
  </si>
  <si>
    <t>5</t>
  </si>
  <si>
    <t>الإثنين</t>
  </si>
  <si>
    <t>محمد سالم العنزي</t>
  </si>
  <si>
    <t>60022244</t>
  </si>
  <si>
    <t>99022244</t>
  </si>
  <si>
    <t>الثانوية</t>
  </si>
  <si>
    <t>11</t>
  </si>
  <si>
    <t>الفروانية</t>
  </si>
  <si>
    <t>الرقعي</t>
  </si>
  <si>
    <t>ق1 ش3 م8</t>
  </si>
  <si>
    <t>FAM-02</t>
  </si>
  <si>
    <t>فيزياء</t>
  </si>
  <si>
    <t>سعد بدر الهاجري</t>
  </si>
  <si>
    <t>الأحد</t>
  </si>
  <si>
    <t>الثلاثاء</t>
  </si>
  <si>
    <t>ليان يوسف الصالح</t>
  </si>
  <si>
    <t>60033355</t>
  </si>
  <si>
    <t>99033355</t>
  </si>
  <si>
    <t>المدارس الأجنبية</t>
  </si>
  <si>
    <t>9</t>
  </si>
  <si>
    <t>بريطاني</t>
  </si>
  <si>
    <t>السالمية</t>
  </si>
  <si>
    <t>ق10 ش2 م44</t>
  </si>
  <si>
    <t>FAM-03</t>
  </si>
  <si>
    <t>فهد مشعل الديحاني</t>
  </si>
  <si>
    <t>60044466</t>
  </si>
  <si>
    <t>99044466</t>
  </si>
  <si>
    <t>طلاب الاحتياجات الخاصة</t>
  </si>
  <si>
    <t>الأحمدي</t>
  </si>
  <si>
    <t>الفحيحيل</t>
  </si>
  <si>
    <t>ق3 ش1 م5</t>
  </si>
  <si>
    <t>FAM-04</t>
  </si>
  <si>
    <t>مهارات أساسية</t>
  </si>
  <si>
    <t>منى عادل الفضلي</t>
  </si>
  <si>
    <t>السبت</t>
  </si>
  <si>
    <t>المعلمون — المواد والمستحقات والرصيد تُجمع آلياً من الطلاب والحركات</t>
  </si>
  <si>
    <t>رقم المعلم</t>
  </si>
  <si>
    <t>التخصص</t>
  </si>
  <si>
    <t>يستخدم سيارة المعهد</t>
  </si>
  <si>
    <t>الحالة</t>
  </si>
  <si>
    <t>المواد التي يدرّسها</t>
  </si>
  <si>
    <t>عدد الطلاب</t>
  </si>
  <si>
    <t>الساعات المنفذة</t>
  </si>
  <si>
    <t>المستحق قبل الخصم</t>
  </si>
  <si>
    <t>خصم المواصلات</t>
  </si>
  <si>
    <t>صافي المستحق</t>
  </si>
  <si>
    <t>المدفوع له</t>
  </si>
  <si>
    <t>المتبقي له</t>
  </si>
  <si>
    <t>لا</t>
  </si>
  <si>
    <t>نشط</t>
  </si>
  <si>
    <t>نعم</t>
  </si>
  <si>
    <t>الحركات المالية — دفعات الطلاب ورواتب المعلمين والمصروفات</t>
  </si>
  <si>
    <t>رقم الحركة</t>
  </si>
  <si>
    <t>التاريخ</t>
  </si>
  <si>
    <t>النوع</t>
  </si>
  <si>
    <t>الطالب / المعلم</t>
  </si>
  <si>
    <t>البند (للمصروفات)</t>
  </si>
  <si>
    <t>المبلغ</t>
  </si>
  <si>
    <t>طريقة الدفع</t>
  </si>
  <si>
    <t>المرجع</t>
  </si>
  <si>
    <t>المتبقي (طالب/معلم)</t>
  </si>
  <si>
    <t>تحقق</t>
  </si>
  <si>
    <t>دفعة طالب</t>
  </si>
  <si>
    <t>كي نت</t>
  </si>
  <si>
    <t>KN-99101</t>
  </si>
  <si>
    <t>نقدي</t>
  </si>
  <si>
    <t>تحويل بنكي</t>
  </si>
  <si>
    <t>TRF-5521</t>
  </si>
  <si>
    <t>دفعة معلم</t>
  </si>
  <si>
    <t>دفعة من مستحقات فبراير</t>
  </si>
  <si>
    <t>مصروف</t>
  </si>
  <si>
    <t>تشغيل سيارة المعهد</t>
  </si>
  <si>
    <t>بنزين وصيانة</t>
  </si>
  <si>
    <t>تسويق</t>
  </si>
  <si>
    <t>الإعدادات والتسعيرة</t>
  </si>
  <si>
    <t>إعدادات عامة</t>
  </si>
  <si>
    <t>اسم المعهد</t>
  </si>
  <si>
    <t>معهد ألفا</t>
  </si>
  <si>
    <t>يظهر في التقارير</t>
  </si>
  <si>
    <t>سنة التقارير</t>
  </si>
  <si>
    <t>أساس الرسم البياني الشهري</t>
  </si>
  <si>
    <t>تنبيه انخفاض الساعات</t>
  </si>
  <si>
    <t>تنبيه عند نزول رصيد الطالب عن هذا الرقم</t>
  </si>
  <si>
    <t>نسبة المعلم</t>
  </si>
  <si>
    <t>ثابتة لكل المراحل — المعهد يأخذ الباقي (25%)</t>
  </si>
  <si>
    <t>التسعيرة — سعر الساعة حسب المرحلة (نسبة المعلم موحدة أعلاه)</t>
  </si>
  <si>
    <t>سعر الساعة</t>
  </si>
  <si>
    <t>المواد</t>
  </si>
  <si>
    <t>الصفوف</t>
  </si>
  <si>
    <t>حالة المعلم</t>
  </si>
  <si>
    <t>المحافظات</t>
  </si>
  <si>
    <t>طرق الدفع</t>
  </si>
  <si>
    <t>نوع الحركة</t>
  </si>
  <si>
    <t>بنود المصروفات</t>
  </si>
  <si>
    <t>نعم/لا</t>
  </si>
  <si>
    <t>الأيام</t>
  </si>
  <si>
    <t>العاصمة</t>
  </si>
  <si>
    <t>الجهراء</t>
  </si>
  <si>
    <t>مبارك الكبير</t>
  </si>
  <si>
    <t>النطاق</t>
  </si>
  <si>
    <t>الجامعة</t>
  </si>
  <si>
    <t>0 - قبل المدرسة</t>
  </si>
  <si>
    <t>الشرق</t>
  </si>
  <si>
    <t>GOV_1</t>
  </si>
  <si>
    <t>STG_1</t>
  </si>
  <si>
    <t>لغة عربية</t>
  </si>
  <si>
    <t>1</t>
  </si>
  <si>
    <t>موقوف</t>
  </si>
  <si>
    <t>ثنائي اللغة</t>
  </si>
  <si>
    <t>إيجار</t>
  </si>
  <si>
    <t>القبلة</t>
  </si>
  <si>
    <t>خيطان</t>
  </si>
  <si>
    <t>سعد العبدالله</t>
  </si>
  <si>
    <t>صباح السالم</t>
  </si>
  <si>
    <t>GOV_2</t>
  </si>
  <si>
    <t>إحصاء</t>
  </si>
  <si>
    <t>قراءة وكتابة</t>
  </si>
  <si>
    <t>STG_2</t>
  </si>
  <si>
    <t>2</t>
  </si>
  <si>
    <t>أمريكي</t>
  </si>
  <si>
    <t>رواتب إدارية</t>
  </si>
  <si>
    <t>المرقاب</t>
  </si>
  <si>
    <t>العارضية</t>
  </si>
  <si>
    <t>المنقف</t>
  </si>
  <si>
    <t>النعيم</t>
  </si>
  <si>
    <t>العدان</t>
  </si>
  <si>
    <t>GOV_3</t>
  </si>
  <si>
    <t>علوم</t>
  </si>
  <si>
    <t>رياضيات مبسطة</t>
  </si>
  <si>
    <t>STG_3</t>
  </si>
  <si>
    <t>3</t>
  </si>
  <si>
    <t>رابط دفع</t>
  </si>
  <si>
    <t>الدسمة</t>
  </si>
  <si>
    <t>بيان</t>
  </si>
  <si>
    <t>الرابية</t>
  </si>
  <si>
    <t>المهبولة</t>
  </si>
  <si>
    <t>العيون</t>
  </si>
  <si>
    <t>القرين</t>
  </si>
  <si>
    <t>GOV_4</t>
  </si>
  <si>
    <t>كيمياء</t>
  </si>
  <si>
    <t>تنمية مهارات</t>
  </si>
  <si>
    <t>STG_4</t>
  </si>
  <si>
    <t>تربية إسلامية</t>
  </si>
  <si>
    <t>4</t>
  </si>
  <si>
    <t>فرنسي</t>
  </si>
  <si>
    <t>أخرى</t>
  </si>
  <si>
    <t>الدعية</t>
  </si>
  <si>
    <t>مشرف</t>
  </si>
  <si>
    <t>الأندلس</t>
  </si>
  <si>
    <t>أبو حليفة</t>
  </si>
  <si>
    <t>القصر</t>
  </si>
  <si>
    <t>القصور</t>
  </si>
  <si>
    <t>GOV_5</t>
  </si>
  <si>
    <t>تخاطب</t>
  </si>
  <si>
    <t>STG_5</t>
  </si>
  <si>
    <t>اجتماعيات</t>
  </si>
  <si>
    <t>آخر</t>
  </si>
  <si>
    <t>الشامية</t>
  </si>
  <si>
    <t>سلوى</t>
  </si>
  <si>
    <t>جليب الشيوخ</t>
  </si>
  <si>
    <t>الفنطاس</t>
  </si>
  <si>
    <t>الواحة</t>
  </si>
  <si>
    <t>المسيلة</t>
  </si>
  <si>
    <t>GOV_6</t>
  </si>
  <si>
    <t>أحياء</t>
  </si>
  <si>
    <t>محاسبة</t>
  </si>
  <si>
    <t>STG_6</t>
  </si>
  <si>
    <t>حاسوب</t>
  </si>
  <si>
    <t>6</t>
  </si>
  <si>
    <t>الروضة</t>
  </si>
  <si>
    <t>الرميثية</t>
  </si>
  <si>
    <t>العقيلة</t>
  </si>
  <si>
    <t>تيماء</t>
  </si>
  <si>
    <t>أبو فطيرة</t>
  </si>
  <si>
    <t>جيولوجيا</t>
  </si>
  <si>
    <t>اقتصاد</t>
  </si>
  <si>
    <t>لغة فرنسية</t>
  </si>
  <si>
    <t>العديلية</t>
  </si>
  <si>
    <t>الشعب</t>
  </si>
  <si>
    <t>اشبيلية</t>
  </si>
  <si>
    <t>الرقة</t>
  </si>
  <si>
    <t>النسيم</t>
  </si>
  <si>
    <t>أبو الحصانية</t>
  </si>
  <si>
    <t>برمجة</t>
  </si>
  <si>
    <t>8</t>
  </si>
  <si>
    <t>الخالدية</t>
  </si>
  <si>
    <t>البدع</t>
  </si>
  <si>
    <t>صباح الناصر</t>
  </si>
  <si>
    <t>هدية</t>
  </si>
  <si>
    <t>الصليبية</t>
  </si>
  <si>
    <t>الفنيطيس</t>
  </si>
  <si>
    <t>القادسية</t>
  </si>
  <si>
    <t>الشهداء</t>
  </si>
  <si>
    <t>الرحاب</t>
  </si>
  <si>
    <t>الظهر</t>
  </si>
  <si>
    <t>أمغرة</t>
  </si>
  <si>
    <t>المسايل</t>
  </si>
  <si>
    <t>10</t>
  </si>
  <si>
    <t>السرة</t>
  </si>
  <si>
    <t>الزهراء</t>
  </si>
  <si>
    <t>عبدالله المبارك</t>
  </si>
  <si>
    <t>صباح الأحمد</t>
  </si>
  <si>
    <t>كبد</t>
  </si>
  <si>
    <t>صبحان</t>
  </si>
  <si>
    <t>كيفان</t>
  </si>
  <si>
    <t>حطين</t>
  </si>
  <si>
    <t>الضجيج</t>
  </si>
  <si>
    <t>علي صباح السالم</t>
  </si>
  <si>
    <t>العبدلي</t>
  </si>
  <si>
    <t>غرب أبو فطيرة</t>
  </si>
  <si>
    <t>12</t>
  </si>
  <si>
    <t>النزهة</t>
  </si>
  <si>
    <t>السلام</t>
  </si>
  <si>
    <t>الفردوس</t>
  </si>
  <si>
    <t>الوفرة</t>
  </si>
  <si>
    <t>الروضتين</t>
  </si>
  <si>
    <t>القرين الجديدة</t>
  </si>
  <si>
    <t>13 - جامعة/معاهد</t>
  </si>
  <si>
    <t>الفيحاء</t>
  </si>
  <si>
    <t>الصديق</t>
  </si>
  <si>
    <t>العمرية</t>
  </si>
  <si>
    <t>الخيران</t>
  </si>
  <si>
    <t>السالمي</t>
  </si>
  <si>
    <t>العدان الجديدة</t>
  </si>
  <si>
    <t>الشويخ</t>
  </si>
  <si>
    <t>مبارك العبدالله</t>
  </si>
  <si>
    <t>أبرق خيطان</t>
  </si>
  <si>
    <t>الجليعة</t>
  </si>
  <si>
    <t>المطلاع</t>
  </si>
  <si>
    <t>المسيلة الجديدة</t>
  </si>
  <si>
    <t>الصليبخات</t>
  </si>
  <si>
    <t>ميدان حولي</t>
  </si>
  <si>
    <t>الشدادية</t>
  </si>
  <si>
    <t>المقوع</t>
  </si>
  <si>
    <t>بر الجهراء</t>
  </si>
  <si>
    <t>القصور الجديدة</t>
  </si>
  <si>
    <t>الدوحة</t>
  </si>
  <si>
    <t>النقرة</t>
  </si>
  <si>
    <t>الري</t>
  </si>
  <si>
    <t>الصباحية</t>
  </si>
  <si>
    <t>الصليبية الزراعية</t>
  </si>
  <si>
    <t>الفنيطيس الجديدة</t>
  </si>
  <si>
    <t>القيروان</t>
  </si>
  <si>
    <t>الجابرية الجديدة</t>
  </si>
  <si>
    <t>النهضة</t>
  </si>
  <si>
    <t>الشعيبة</t>
  </si>
  <si>
    <t>صباح السالم الجديدة</t>
  </si>
  <si>
    <t>الغرناطة</t>
  </si>
  <si>
    <t>الرمثية</t>
  </si>
  <si>
    <t>ضاحية عبدالله</t>
  </si>
  <si>
    <t>الزور</t>
  </si>
  <si>
    <t>مبارك الكبير الجديدة</t>
  </si>
  <si>
    <t>اليرموك</t>
  </si>
  <si>
    <t>الشهداء الجديدة</t>
  </si>
  <si>
    <t>العارضية الحرفية</t>
  </si>
  <si>
    <t>الفنطاس الجديدة</t>
  </si>
  <si>
    <t>الجهراء الصناعية</t>
  </si>
  <si>
    <t>الشرقية</t>
  </si>
  <si>
    <t xml:space="preserve">محمد مصطفى </t>
  </si>
  <si>
    <t>تقرير المعلم</t>
  </si>
  <si>
    <t>تاريخ التقرير:</t>
  </si>
  <si>
    <t>اختر المعلم:</t>
  </si>
  <si>
    <t>بيانات المعلم</t>
  </si>
  <si>
    <t>الملخص المالي</t>
  </si>
  <si>
    <t>الساعات المنفّذة</t>
  </si>
  <si>
    <t>الطلاب والحصص</t>
  </si>
  <si>
    <t>الطالب</t>
  </si>
  <si>
    <t>من</t>
  </si>
  <si>
    <t>إلى</t>
  </si>
  <si>
    <t>سجل دفعات المعلم (من المعهد)</t>
  </si>
  <si>
    <t>إجمالي المدفوع للمعلم</t>
  </si>
  <si>
    <t>تقرير الطالب</t>
  </si>
  <si>
    <t>اختر الطالب (رقم التسجيل):</t>
  </si>
  <si>
    <t>STD-0001</t>
  </si>
  <si>
    <t>بيانات الطالب</t>
  </si>
  <si>
    <t>رقم التسجيل:</t>
  </si>
  <si>
    <t>الاسم:</t>
  </si>
  <si>
    <t>الهاتف:</t>
  </si>
  <si>
    <t>هاتف ولي الأمر:</t>
  </si>
  <si>
    <t>المرحلة:</t>
  </si>
  <si>
    <t>الصف:</t>
  </si>
  <si>
    <t>المنهج:</t>
  </si>
  <si>
    <t>مجموعة الإخوة:</t>
  </si>
  <si>
    <t>المحافظة:</t>
  </si>
  <si>
    <t>المنطقة:</t>
  </si>
  <si>
    <t>العنوان:</t>
  </si>
  <si>
    <t>تاريخ التسجيل:</t>
  </si>
  <si>
    <t>المادة والحصص</t>
  </si>
  <si>
    <t>المستهلكة</t>
  </si>
  <si>
    <t>الملخص المالي والساعات</t>
  </si>
  <si>
    <t>ساعات الاشتراك (كلي):</t>
  </si>
  <si>
    <t>الساعات المستهلكة (كلي):</t>
  </si>
  <si>
    <t>الساعات المتبقية:</t>
  </si>
  <si>
    <t>إجمالي المبلغ المستحق:</t>
  </si>
  <si>
    <t>إجمالي المدفوع:</t>
  </si>
  <si>
    <t>المبلغ المتبقي:</t>
  </si>
  <si>
    <t>حالة الدفع:</t>
  </si>
  <si>
    <t>تنبيه الرصيد:</t>
  </si>
  <si>
    <t>سجل دفعات الطالب</t>
  </si>
  <si>
    <t>إجمالي المدفوع</t>
  </si>
  <si>
    <t>رشا محمد علي الشلبي</t>
  </si>
  <si>
    <t>ألاء شعبان</t>
  </si>
  <si>
    <t>دينا أحمد مصطفى</t>
  </si>
  <si>
    <t>سارة لحي السيد</t>
  </si>
  <si>
    <t>شهد محمد المتوكل</t>
  </si>
  <si>
    <t>آية الطوخي محمد</t>
  </si>
  <si>
    <t>أبرار صلاح محمد</t>
  </si>
  <si>
    <t>رجه محمد جلال</t>
  </si>
  <si>
    <t>سلوى الشنوري</t>
  </si>
  <si>
    <t>نقلة خالد صليعي</t>
  </si>
  <si>
    <t>وفاء زهواني</t>
  </si>
  <si>
    <t>هايدي مصطفى</t>
  </si>
  <si>
    <t>إيناس محمد سالم</t>
  </si>
  <si>
    <t>سعاد أحمد الشادي</t>
  </si>
  <si>
    <t>خالد حاتم</t>
  </si>
  <si>
    <t>رابعة سيد لحي محمد</t>
  </si>
  <si>
    <t>عفة أبو الفضل</t>
  </si>
  <si>
    <t>إسراء عادل محمود</t>
  </si>
  <si>
    <t>رقية محمد عثمان ابراهيم</t>
  </si>
  <si>
    <t>ميرول أنطون</t>
  </si>
  <si>
    <t>صد الغزاع</t>
  </si>
  <si>
    <t>أزعاد محمد علي محمد</t>
  </si>
  <si>
    <t>مار أحمد عطا</t>
  </si>
  <si>
    <t>حنان محمد علي</t>
  </si>
  <si>
    <t>دلال خليل العلي</t>
  </si>
  <si>
    <t>سمر محمد عافية</t>
  </si>
  <si>
    <t>رانيا عبد اللي</t>
  </si>
  <si>
    <t>أحمد عادة علي محمد</t>
  </si>
  <si>
    <t>أسماء عبد الله عبد الدين</t>
  </si>
  <si>
    <t>سماح محمد البلالي</t>
  </si>
  <si>
    <t>سوائل سعيد</t>
  </si>
  <si>
    <t>أنيد النصيرات</t>
  </si>
  <si>
    <t>من سلامة</t>
  </si>
  <si>
    <t>منال سمير</t>
  </si>
  <si>
    <t>أميرة محمد وصير الدين القطري</t>
  </si>
  <si>
    <t>أحمد عبد الغني بني عامر</t>
  </si>
  <si>
    <t>شهاد السيد محمد عبد العزيز نايل</t>
  </si>
  <si>
    <t>عماد ناصية</t>
  </si>
  <si>
    <t>إيمان محمد عبد العزيز</t>
  </si>
  <si>
    <t>قله محمد</t>
  </si>
  <si>
    <t>أحمد السيد أحمد الدالي</t>
  </si>
  <si>
    <t>ماهر وليد محمد</t>
  </si>
  <si>
    <t>سماح عبد الجيد</t>
  </si>
  <si>
    <t>دعاء مصطفى عبد النعم</t>
  </si>
  <si>
    <t>مصطفى ابراهيم</t>
  </si>
  <si>
    <t>شورات أحمد أحمد</t>
  </si>
  <si>
    <t>هاجر ولي محمد</t>
  </si>
  <si>
    <t>نقلة أبو رحاب</t>
  </si>
  <si>
    <t>أنوار محمد</t>
  </si>
  <si>
    <t>وردة محمد</t>
  </si>
  <si>
    <t>قاضري علي ابراهيم</t>
  </si>
  <si>
    <t>آلاء عاطفة حسين</t>
  </si>
  <si>
    <t>وحيد فؤاد حسن</t>
  </si>
  <si>
    <t>معلمة صف</t>
  </si>
  <si>
    <t>رياض أطفال</t>
  </si>
  <si>
    <t>لغة انكليزية</t>
  </si>
  <si>
    <t>معلمة مساعدة</t>
  </si>
  <si>
    <t>رياضيات وفيزياء</t>
  </si>
  <si>
    <t>رياضيات/ اجتماعيات</t>
  </si>
  <si>
    <t>علم النفس</t>
  </si>
  <si>
    <t>تربية/ معلم صف</t>
  </si>
  <si>
    <t>رياضيات/ حاسبة</t>
  </si>
  <si>
    <t>مساعدة إدارية</t>
  </si>
  <si>
    <t>مدرسة</t>
  </si>
  <si>
    <t>تربية</t>
  </si>
  <si>
    <t>علم أحياء</t>
  </si>
  <si>
    <t>علم أحياء/ علم النفس</t>
  </si>
  <si>
    <t>96566731067</t>
  </si>
  <si>
    <t>9656535809</t>
  </si>
  <si>
    <t>96650915699</t>
  </si>
  <si>
    <t>96599651074</t>
  </si>
  <si>
    <t>96566170270</t>
  </si>
  <si>
    <t>50135789</t>
  </si>
  <si>
    <t>69645280</t>
  </si>
  <si>
    <t>96590932066</t>
  </si>
  <si>
    <t>66781929</t>
  </si>
  <si>
    <t>66853180</t>
  </si>
  <si>
    <t>66152708</t>
  </si>
  <si>
    <t>96560667540</t>
  </si>
  <si>
    <t>9659787483</t>
  </si>
  <si>
    <t>96569681276</t>
  </si>
  <si>
    <t>96552526789</t>
  </si>
  <si>
    <t>0502574090</t>
  </si>
  <si>
    <t>55189577</t>
  </si>
  <si>
    <t>9659932530</t>
  </si>
  <si>
    <t>96551511629</t>
  </si>
  <si>
    <t>97437340</t>
  </si>
  <si>
    <t>50620904</t>
  </si>
  <si>
    <t>66406942</t>
  </si>
  <si>
    <t>65875829</t>
  </si>
  <si>
    <t>77940205</t>
  </si>
  <si>
    <t>98873732</t>
  </si>
  <si>
    <t>41034054</t>
  </si>
  <si>
    <t>94715564</t>
  </si>
  <si>
    <t>50586681</t>
  </si>
  <si>
    <t>96555572328</t>
  </si>
  <si>
    <t>97562463</t>
  </si>
  <si>
    <t>96565605357</t>
  </si>
  <si>
    <t>91113985</t>
  </si>
  <si>
    <t>99270471</t>
  </si>
  <si>
    <t>96599883684</t>
  </si>
  <si>
    <t>55681441</t>
  </si>
  <si>
    <t>96569974208</t>
  </si>
  <si>
    <t>98761199</t>
  </si>
  <si>
    <t>96565017822</t>
  </si>
  <si>
    <t>96598770404</t>
  </si>
  <si>
    <t>66484084</t>
  </si>
  <si>
    <t>99046292</t>
  </si>
  <si>
    <t>55987414</t>
  </si>
  <si>
    <t>97871562</t>
  </si>
  <si>
    <t>94478730</t>
  </si>
  <si>
    <t>6998009</t>
  </si>
  <si>
    <t>97517165</t>
  </si>
  <si>
    <t>55987419</t>
  </si>
  <si>
    <t>61114602</t>
  </si>
  <si>
    <t>69396464</t>
  </si>
  <si>
    <t>94779171</t>
  </si>
  <si>
    <t>97215820</t>
  </si>
  <si>
    <t>60337370</t>
  </si>
  <si>
    <t>98528958</t>
  </si>
  <si>
    <t>الفروانية / خيطان</t>
  </si>
  <si>
    <t>الكويت</t>
  </si>
  <si>
    <t>القطارس</t>
  </si>
  <si>
    <t>الرقم يحتاج مراجعة</t>
  </si>
  <si>
    <t>الاسم غير واضح</t>
  </si>
  <si>
    <t>رقم ثانٍ محتمل 99883684</t>
  </si>
  <si>
    <t>مستشار المستشار</t>
  </si>
  <si>
    <t>ق5 ش4م3</t>
  </si>
  <si>
    <t>تأسيس</t>
  </si>
  <si>
    <t>خصم الأخوة (حسب مجموعة الإخوة)</t>
  </si>
  <si>
    <t>كود المجموعة</t>
  </si>
  <si>
    <t>نسبة الخصم</t>
  </si>
  <si>
    <t>النِسب المسموحة</t>
  </si>
  <si>
    <t>أدخل كود المجموعة (مثل FAM-01) ثم اختر النسبة — تُطبّق تلقائياً على كل أفراد نفس المجموعة في ورقة الطلاب.</t>
  </si>
  <si>
    <t>نسبة خصم الإخوة</t>
  </si>
  <si>
    <t>_مستحق الصف بعد الخصم</t>
  </si>
  <si>
    <t>تخصص المعلم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</si>
</sst>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#,##0.000"/>
    <numFmt numFmtId="166" formatCode="yyyy\-mm\-dd"/>
    <numFmt numFmtId="167" formatCode="hh:mm"/>
    <numFmt numFmtId="168" formatCode="#,##0.000;\(#,##0.000\);\-"/>
  </numFmts>
  <fonts count="31" x14ac:knownFonts="1">
    <font>
      <sz val="11"/>
      <color theme="1"/>
      <name val="Arial"/>
      <family val="2"/>
      <scheme val="minor"/>
    </font>
    <font>
      <b/>
      <sz val="14"/>
      <color rgb="FFFFFFFF"/>
      <name val="Arial"/>
    </font>
    <font>
      <b/>
      <u/>
      <sz val="9"/>
      <color rgb="FF1F3864"/>
      <name val="Arial"/>
    </font>
    <font>
      <b/>
      <sz val="11"/>
      <color rgb="FFFFFFFF"/>
      <name val="Arial"/>
    </font>
    <font>
      <b/>
      <sz val="10"/>
      <name val="Arial"/>
    </font>
    <font>
      <sz val="10"/>
      <color rgb="FF0000FF"/>
      <name val="Arial"/>
    </font>
    <font>
      <i/>
      <sz val="9"/>
      <color rgb="FF808080"/>
      <name val="Arial"/>
    </font>
    <font>
      <b/>
      <sz val="9"/>
      <color rgb="FFFFFFFF"/>
      <name val="Arial"/>
    </font>
    <font>
      <sz val="10"/>
      <name val="Arial"/>
    </font>
    <font>
      <sz val="10"/>
      <color rgb="FF404040"/>
      <name val="Arial"/>
    </font>
    <font>
      <b/>
      <sz val="11"/>
      <name val="Arial"/>
    </font>
    <font>
      <b/>
      <sz val="11"/>
      <color theme="1"/>
      <name val="Arial"/>
      <family val="2"/>
      <scheme val="minor"/>
    </font>
    <font>
      <b/>
      <sz val="18"/>
      <color rgb="FFFFFFFF"/>
      <name val="Arial"/>
      <family val="2"/>
      <scheme val="minor"/>
    </font>
    <font>
      <b/>
      <sz val="14"/>
      <color rgb="FFFFFFFF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1"/>
      <color rgb="FF0000FF"/>
      <name val="Arial"/>
      <family val="2"/>
      <scheme val="minor"/>
    </font>
    <font>
      <b/>
      <sz val="11"/>
      <color rgb="FFFFFFFF"/>
      <name val="Arial"/>
      <family val="2"/>
      <scheme val="minor"/>
    </font>
    <font>
      <b/>
      <sz val="9"/>
      <color rgb="FFFFFFFF"/>
      <name val="Arial"/>
      <family val="2"/>
      <scheme val="minor"/>
    </font>
    <font>
      <sz val="9"/>
      <color theme="1"/>
      <name val="Arial"/>
      <family val="2"/>
      <scheme val="minor"/>
    </font>
    <font>
      <b/>
      <sz val="18"/>
      <color rgb="FF2F5597"/>
      <name val="Arial"/>
      <family val="2"/>
      <scheme val="minor"/>
    </font>
    <font>
      <b/>
      <sz val="14"/>
      <color rgb="FF404040"/>
      <name val="Arial"/>
      <family val="2"/>
      <scheme val="minor"/>
    </font>
    <font>
      <b/>
      <sz val="9"/>
      <color rgb="FFFFFFFF"/>
      <name val="Arial"/>
      <family val="2"/>
    </font>
    <font>
      <sz val="10"/>
      <color rgb="FF0000FF"/>
      <name val="Arial"/>
      <family val="2"/>
    </font>
    <font>
      <b/>
      <sz val="11"/>
      <color theme="1"/>
      <name val="Arial"/>
      <scheme val="minor"/>
    </font>
    <font>
      <sz val="11"/>
      <color rgb="FF0000FF"/>
      <name val="Arial"/>
      <scheme val="minor"/>
    </font>
    <font>
      <sz val="11"/>
      <color rgb="FF808080"/>
      <name val="Arial"/>
      <family val="2"/>
      <scheme val="minor"/>
    </font>
    <font>
      <i/>
      <sz val="9"/>
      <color rgb="FF0000FF"/>
      <name val="Arial"/>
      <scheme val="minor"/>
    </font>
    <font>
      <sz val="10"/>
      <color rgb="FF808080"/>
      <name val="Arial"/>
    </font>
    <font>
      <i/>
      <sz val="10"/>
      <color rgb="FF548235"/>
      <name val="Arial"/>
    </font>
    <font>
      <i/>
      <sz val="11"/>
      <color rgb="FF548235"/>
      <name val="Arial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DDEBF7"/>
      </patternFill>
    </fill>
    <fill>
      <patternFill patternType="solid">
        <fgColor rgb="FF2F5597"/>
      </patternFill>
    </fill>
    <fill>
      <patternFill patternType="solid">
        <fgColor rgb="FFFFF2CC"/>
      </patternFill>
    </fill>
    <fill>
      <patternFill patternType="solid">
        <fgColor rgb="FF4472C4"/>
      </patternFill>
    </fill>
    <fill>
      <patternFill patternType="solid">
        <fgColor rgb="FFF3F3F3"/>
      </patternFill>
    </fill>
    <fill>
      <patternFill patternType="solid">
        <fgColor rgb="FF70AD47"/>
      </patternFill>
    </fill>
    <fill>
      <patternFill patternType="solid">
        <fgColor rgb="FFC55A11"/>
      </patternFill>
    </fill>
    <fill>
      <patternFill patternType="solid">
        <fgColor rgb="FFE2E2E2"/>
      </patternFill>
    </fill>
    <fill>
      <patternFill patternType="solid">
        <fgColor rgb="FFFDE9A9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6ECE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FDE9A9"/>
        <bgColor indexed="64"/>
      </patternFill>
    </fill>
    <fill>
      <patternFill patternType="solid">
        <fgColor rgb="FFF8E7EE"/>
        <bgColor indexed="64"/>
      </patternFill>
    </fill>
    <fill>
      <patternFill patternType="solid">
        <fgColor rgb="FFD9E1F2"/>
        <bgColor indexed="64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21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4" fillId="0" borderId="1" xfId="0" applyFont="1" applyBorder="1"/>
    <xf numFmtId="1" fontId="10" fillId="7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Protection="1">
      <protection locked="0"/>
    </xf>
    <xf numFmtId="0" fontId="7" fillId="6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5" fontId="9" fillId="7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4" fontId="10" fillId="7" borderId="1" xfId="0" applyNumberFormat="1" applyFont="1" applyFill="1" applyBorder="1" applyAlignment="1">
      <alignment horizontal="center" vertical="center"/>
    </xf>
    <xf numFmtId="165" fontId="10" fillId="7" borderId="1" xfId="0" applyNumberFormat="1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165" fontId="4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/>
      <protection locked="0"/>
    </xf>
    <xf numFmtId="166" fontId="5" fillId="5" borderId="1" xfId="0" applyNumberFormat="1" applyFont="1" applyFill="1" applyBorder="1" applyAlignment="1" applyProtection="1">
      <alignment horizontal="center" vertical="center"/>
      <protection locked="0"/>
    </xf>
    <xf numFmtId="165" fontId="5" fillId="5" borderId="1" xfId="0" applyNumberFormat="1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165" fontId="9" fillId="10" borderId="1" xfId="0" applyNumberFormat="1" applyFont="1" applyFill="1" applyBorder="1" applyAlignment="1">
      <alignment horizontal="center" vertical="center"/>
    </xf>
    <xf numFmtId="165" fontId="5" fillId="11" borderId="1" xfId="0" applyNumberFormat="1" applyFont="1" applyFill="1" applyBorder="1" applyAlignment="1" applyProtection="1">
      <alignment horizontal="center" vertical="center"/>
      <protection locked="0"/>
    </xf>
    <xf numFmtId="166" fontId="5" fillId="11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0" fontId="6" fillId="0" borderId="0" xfId="0" applyFont="1"/>
    <xf numFmtId="1" fontId="5" fillId="5" borderId="1" xfId="0" applyNumberFormat="1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 vertical="center"/>
    </xf>
    <xf numFmtId="9" fontId="5" fillId="5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165" fontId="5" fillId="5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12" borderId="1" xfId="0" applyNumberFormat="1" applyFont="1" applyFill="1" applyBorder="1" applyAlignment="1" applyProtection="1">
      <alignment horizontal="center" vertical="center"/>
    </xf>
    <xf numFmtId="0" fontId="5" fillId="12" borderId="1" xfId="0" applyNumberFormat="1" applyFont="1" applyFill="1" applyBorder="1" applyAlignment="1" applyProtection="1">
      <alignment horizontal="center" vertical="center"/>
      <protection locked="0"/>
    </xf>
    <xf numFmtId="166" fontId="5" fillId="12" borderId="1" xfId="0" applyNumberFormat="1" applyFont="1" applyFill="1" applyBorder="1" applyAlignment="1" applyProtection="1">
      <alignment horizontal="center" vertical="center"/>
    </xf>
    <xf numFmtId="164" fontId="5" fillId="12" borderId="1" xfId="0" applyNumberFormat="1" applyFont="1" applyFill="1" applyBorder="1" applyAlignment="1" applyProtection="1">
      <alignment horizontal="center" vertical="center"/>
      <protection locked="0"/>
    </xf>
    <xf numFmtId="165" fontId="5" fillId="12" borderId="1" xfId="0" applyNumberFormat="1" applyFont="1" applyFill="1" applyBorder="1" applyAlignment="1" applyProtection="1">
      <alignment horizontal="center" vertical="center"/>
      <protection locked="0"/>
    </xf>
    <xf numFmtId="167" fontId="5" fillId="12" borderId="1" xfId="0" applyNumberFormat="1" applyFont="1" applyFill="1" applyBorder="1" applyAlignment="1" applyProtection="1">
      <alignment horizontal="center" vertical="center"/>
      <protection locked="0"/>
    </xf>
    <xf numFmtId="164" fontId="9" fillId="12" borderId="1" xfId="0" applyNumberFormat="1" applyFont="1" applyFill="1" applyBorder="1" applyAlignment="1" applyProtection="1">
      <alignment horizontal="center" vertical="center"/>
    </xf>
    <xf numFmtId="165" fontId="9" fillId="12" borderId="1" xfId="0" applyNumberFormat="1" applyFont="1" applyFill="1" applyBorder="1" applyAlignment="1" applyProtection="1">
      <alignment horizontal="center" vertical="center"/>
    </xf>
    <xf numFmtId="0" fontId="9" fillId="13" borderId="1" xfId="0" applyNumberFormat="1" applyFont="1" applyFill="1" applyBorder="1" applyAlignment="1" applyProtection="1">
      <alignment horizontal="center" vertical="center"/>
    </xf>
    <xf numFmtId="0" fontId="5" fillId="13" borderId="1" xfId="0" applyNumberFormat="1" applyFont="1" applyFill="1" applyBorder="1" applyAlignment="1" applyProtection="1">
      <alignment horizontal="center" vertical="center"/>
      <protection locked="0"/>
    </xf>
    <xf numFmtId="166" fontId="5" fillId="13" borderId="1" xfId="0" applyNumberFormat="1" applyFont="1" applyFill="1" applyBorder="1" applyAlignment="1" applyProtection="1">
      <alignment horizontal="center" vertical="center"/>
    </xf>
    <xf numFmtId="164" fontId="5" fillId="13" borderId="1" xfId="0" applyNumberFormat="1" applyFont="1" applyFill="1" applyBorder="1" applyAlignment="1" applyProtection="1">
      <alignment horizontal="center" vertical="center"/>
      <protection locked="0"/>
    </xf>
    <xf numFmtId="165" fontId="5" fillId="13" borderId="1" xfId="0" applyNumberFormat="1" applyFont="1" applyFill="1" applyBorder="1" applyAlignment="1" applyProtection="1">
      <alignment horizontal="center" vertical="center"/>
      <protection locked="0"/>
    </xf>
    <xf numFmtId="167" fontId="5" fillId="13" borderId="1" xfId="0" applyNumberFormat="1" applyFont="1" applyFill="1" applyBorder="1" applyAlignment="1" applyProtection="1">
      <alignment horizontal="center" vertical="center"/>
      <protection locked="0"/>
    </xf>
    <xf numFmtId="164" fontId="9" fillId="13" borderId="1" xfId="0" applyNumberFormat="1" applyFont="1" applyFill="1" applyBorder="1" applyAlignment="1" applyProtection="1">
      <alignment horizontal="center" vertical="center"/>
    </xf>
    <xf numFmtId="165" fontId="9" fillId="13" borderId="1" xfId="0" applyNumberFormat="1" applyFont="1" applyFill="1" applyBorder="1" applyAlignment="1" applyProtection="1">
      <alignment horizontal="center" vertical="center"/>
    </xf>
    <xf numFmtId="0" fontId="9" fillId="14" borderId="1" xfId="0" applyNumberFormat="1" applyFont="1" applyFill="1" applyBorder="1" applyAlignment="1" applyProtection="1">
      <alignment horizontal="center" vertical="center"/>
    </xf>
    <xf numFmtId="0" fontId="5" fillId="14" borderId="1" xfId="0" applyNumberFormat="1" applyFont="1" applyFill="1" applyBorder="1" applyAlignment="1" applyProtection="1">
      <alignment horizontal="center" vertical="center"/>
      <protection locked="0"/>
    </xf>
    <xf numFmtId="166" fontId="5" fillId="14" borderId="1" xfId="0" applyNumberFormat="1" applyFont="1" applyFill="1" applyBorder="1" applyAlignment="1" applyProtection="1">
      <alignment horizontal="center" vertical="center"/>
    </xf>
    <xf numFmtId="164" fontId="5" fillId="14" borderId="1" xfId="0" applyNumberFormat="1" applyFont="1" applyFill="1" applyBorder="1" applyAlignment="1" applyProtection="1">
      <alignment horizontal="center" vertical="center"/>
      <protection locked="0"/>
    </xf>
    <xf numFmtId="165" fontId="5" fillId="14" borderId="1" xfId="0" applyNumberFormat="1" applyFont="1" applyFill="1" applyBorder="1" applyAlignment="1" applyProtection="1">
      <alignment horizontal="center" vertical="center"/>
      <protection locked="0"/>
    </xf>
    <xf numFmtId="167" fontId="5" fillId="14" borderId="1" xfId="0" applyNumberFormat="1" applyFont="1" applyFill="1" applyBorder="1" applyAlignment="1" applyProtection="1">
      <alignment horizontal="center" vertical="center"/>
      <protection locked="0"/>
    </xf>
    <xf numFmtId="164" fontId="9" fillId="14" borderId="1" xfId="0" applyNumberFormat="1" applyFont="1" applyFill="1" applyBorder="1" applyAlignment="1" applyProtection="1">
      <alignment horizontal="center" vertical="center"/>
    </xf>
    <xf numFmtId="165" fontId="9" fillId="14" borderId="1" xfId="0" applyNumberFormat="1" applyFont="1" applyFill="1" applyBorder="1" applyAlignment="1" applyProtection="1">
      <alignment horizontal="center" vertical="center"/>
    </xf>
    <xf numFmtId="0" fontId="9" fillId="15" borderId="1" xfId="0" applyNumberFormat="1" applyFont="1" applyFill="1" applyBorder="1" applyAlignment="1" applyProtection="1">
      <alignment horizontal="center" vertical="center"/>
    </xf>
    <xf numFmtId="0" fontId="5" fillId="15" borderId="1" xfId="0" applyNumberFormat="1" applyFont="1" applyFill="1" applyBorder="1" applyAlignment="1" applyProtection="1">
      <alignment horizontal="center" vertical="center"/>
      <protection locked="0"/>
    </xf>
    <xf numFmtId="166" fontId="5" fillId="15" borderId="1" xfId="0" applyNumberFormat="1" applyFont="1" applyFill="1" applyBorder="1" applyAlignment="1" applyProtection="1">
      <alignment horizontal="center" vertical="center"/>
    </xf>
    <xf numFmtId="164" fontId="5" fillId="15" borderId="1" xfId="0" applyNumberFormat="1" applyFont="1" applyFill="1" applyBorder="1" applyAlignment="1" applyProtection="1">
      <alignment horizontal="center" vertical="center"/>
      <protection locked="0"/>
    </xf>
    <xf numFmtId="165" fontId="5" fillId="15" borderId="1" xfId="0" applyNumberFormat="1" applyFont="1" applyFill="1" applyBorder="1" applyAlignment="1" applyProtection="1">
      <alignment horizontal="center" vertical="center"/>
      <protection locked="0"/>
    </xf>
    <xf numFmtId="167" fontId="5" fillId="15" borderId="1" xfId="0" applyNumberFormat="1" applyFont="1" applyFill="1" applyBorder="1" applyAlignment="1" applyProtection="1">
      <alignment horizontal="center" vertical="center"/>
      <protection locked="0"/>
    </xf>
    <xf numFmtId="164" fontId="9" fillId="15" borderId="1" xfId="0" applyNumberFormat="1" applyFont="1" applyFill="1" applyBorder="1" applyAlignment="1" applyProtection="1">
      <alignment horizontal="center" vertical="center"/>
    </xf>
    <xf numFmtId="165" fontId="9" fillId="15" borderId="1" xfId="0" applyNumberFormat="1" applyFont="1" applyFill="1" applyBorder="1" applyAlignment="1" applyProtection="1">
      <alignment horizontal="center" vertical="center"/>
    </xf>
    <xf numFmtId="0" fontId="9" fillId="16" borderId="1" xfId="0" applyNumberFormat="1" applyFont="1" applyFill="1" applyBorder="1" applyAlignment="1" applyProtection="1">
      <alignment horizontal="center" vertical="center"/>
    </xf>
    <xf numFmtId="0" fontId="5" fillId="16" borderId="1" xfId="0" applyNumberFormat="1" applyFont="1" applyFill="1" applyBorder="1" applyAlignment="1" applyProtection="1">
      <alignment horizontal="center" vertical="center"/>
      <protection locked="0"/>
    </xf>
    <xf numFmtId="166" fontId="5" fillId="16" borderId="1" xfId="0" applyNumberFormat="1" applyFont="1" applyFill="1" applyBorder="1" applyAlignment="1" applyProtection="1">
      <alignment horizontal="center" vertical="center"/>
    </xf>
    <xf numFmtId="164" fontId="5" fillId="16" borderId="1" xfId="0" applyNumberFormat="1" applyFont="1" applyFill="1" applyBorder="1" applyAlignment="1" applyProtection="1">
      <alignment horizontal="center" vertical="center"/>
      <protection locked="0"/>
    </xf>
    <xf numFmtId="165" fontId="5" fillId="16" borderId="1" xfId="0" applyNumberFormat="1" applyFont="1" applyFill="1" applyBorder="1" applyAlignment="1" applyProtection="1">
      <alignment horizontal="center" vertical="center"/>
      <protection locked="0"/>
    </xf>
    <xf numFmtId="167" fontId="5" fillId="16" borderId="1" xfId="0" applyNumberFormat="1" applyFont="1" applyFill="1" applyBorder="1" applyAlignment="1" applyProtection="1">
      <alignment horizontal="center" vertical="center"/>
      <protection locked="0"/>
    </xf>
    <xf numFmtId="164" fontId="9" fillId="16" borderId="1" xfId="0" applyNumberFormat="1" applyFont="1" applyFill="1" applyBorder="1" applyAlignment="1" applyProtection="1">
      <alignment horizontal="center" vertical="center"/>
    </xf>
    <xf numFmtId="165" fontId="9" fillId="16" borderId="1" xfId="0" applyNumberFormat="1" applyFont="1" applyFill="1" applyBorder="1" applyAlignment="1" applyProtection="1">
      <alignment horizontal="center" vertical="center"/>
    </xf>
    <xf numFmtId="0" fontId="0" fillId="16" borderId="1" xfId="0" applyNumberFormat="1" applyFont="1" applyFill="1" applyBorder="1" applyAlignment="1" applyProtection="1">
      <alignment horizontal="center" vertical="center"/>
    </xf>
    <xf numFmtId="0" fontId="4" fillId="18" borderId="1" xfId="0" applyFont="1" applyFill="1" applyBorder="1"/>
    <xf numFmtId="165" fontId="10" fillId="18" borderId="1" xfId="0" applyNumberFormat="1" applyFont="1" applyFill="1" applyBorder="1" applyAlignment="1">
      <alignment horizontal="center" vertical="center"/>
    </xf>
    <xf numFmtId="0" fontId="0" fillId="18" borderId="0" xfId="0" applyFill="1"/>
    <xf numFmtId="0" fontId="9" fillId="18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165" fontId="9" fillId="18" borderId="1" xfId="0" applyNumberFormat="1" applyFont="1" applyFill="1" applyBorder="1" applyAlignment="1">
      <alignment horizontal="center" vertical="center"/>
    </xf>
    <xf numFmtId="166" fontId="0" fillId="18" borderId="0" xfId="0" applyNumberFormat="1" applyFill="1"/>
    <xf numFmtId="0" fontId="4" fillId="19" borderId="1" xfId="0" applyFont="1" applyFill="1" applyBorder="1"/>
    <xf numFmtId="165" fontId="10" fillId="19" borderId="1" xfId="0" applyNumberFormat="1" applyFont="1" applyFill="1" applyBorder="1" applyAlignment="1">
      <alignment horizontal="center" vertical="center"/>
    </xf>
    <xf numFmtId="0" fontId="0" fillId="19" borderId="0" xfId="0" applyFill="1"/>
    <xf numFmtId="0" fontId="4" fillId="19" borderId="1" xfId="0" applyFont="1" applyFill="1" applyBorder="1" applyAlignment="1">
      <alignment horizontal="center" vertical="center"/>
    </xf>
    <xf numFmtId="165" fontId="9" fillId="19" borderId="1" xfId="0" applyNumberFormat="1" applyFont="1" applyFill="1" applyBorder="1" applyAlignment="1">
      <alignment horizontal="center" vertical="center"/>
    </xf>
    <xf numFmtId="166" fontId="0" fillId="19" borderId="0" xfId="0" applyNumberFormat="1" applyFill="1"/>
    <xf numFmtId="0" fontId="4" fillId="20" borderId="1" xfId="0" applyFont="1" applyFill="1" applyBorder="1"/>
    <xf numFmtId="165" fontId="10" fillId="20" borderId="1" xfId="0" applyNumberFormat="1" applyFont="1" applyFill="1" applyBorder="1" applyAlignment="1">
      <alignment horizontal="center" vertical="center"/>
    </xf>
    <xf numFmtId="0" fontId="0" fillId="20" borderId="0" xfId="0" applyFill="1"/>
    <xf numFmtId="0" fontId="5" fillId="20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0" fontId="0" fillId="17" borderId="0" xfId="0" applyNumberFormat="1" applyFill="1" applyAlignment="1" applyProtection="1">
      <alignment horizontal="center"/>
    </xf>
    <xf numFmtId="0" fontId="0" fillId="17" borderId="0" xfId="0" applyNumberFormat="1" applyFill="1" applyAlignment="1" applyProtection="1">
      <alignment horizontal="center"/>
      <protection locked="0"/>
    </xf>
    <xf numFmtId="166" fontId="0" fillId="17" borderId="0" xfId="0" applyNumberFormat="1" applyFill="1" applyAlignment="1" applyProtection="1">
      <alignment horizontal="center"/>
    </xf>
    <xf numFmtId="164" fontId="0" fillId="17" borderId="0" xfId="0" applyNumberFormat="1" applyFill="1" applyAlignment="1" applyProtection="1">
      <alignment horizontal="center"/>
      <protection locked="0"/>
    </xf>
    <xf numFmtId="165" fontId="0" fillId="17" borderId="0" xfId="0" applyNumberFormat="1" applyFill="1" applyAlignment="1" applyProtection="1">
      <alignment horizontal="center"/>
      <protection locked="0"/>
    </xf>
    <xf numFmtId="167" fontId="0" fillId="17" borderId="0" xfId="0" applyNumberFormat="1" applyFill="1" applyAlignment="1" applyProtection="1">
      <alignment horizontal="center"/>
      <protection locked="0"/>
    </xf>
    <xf numFmtId="164" fontId="0" fillId="17" borderId="0" xfId="0" applyNumberFormat="1" applyFill="1" applyAlignment="1" applyProtection="1">
      <alignment horizontal="center"/>
    </xf>
    <xf numFmtId="165" fontId="0" fillId="17" borderId="0" xfId="0" applyNumberFormat="1" applyFill="1" applyAlignment="1" applyProtection="1">
      <alignment horizontal="center"/>
    </xf>
    <xf numFmtId="0" fontId="15" fillId="0" borderId="0" xfId="0" applyFont="1" applyAlignment="1">
      <alignment horizontal="right"/>
    </xf>
    <xf numFmtId="166" fontId="14" fillId="0" borderId="0" xfId="0" applyNumberFormat="1" applyFont="1" applyAlignment="1">
      <alignment horizontal="left"/>
    </xf>
    <xf numFmtId="0" fontId="11" fillId="12" borderId="0" xfId="0" applyFont="1" applyFill="1" applyAlignment="1">
      <alignment horizontal="right"/>
    </xf>
    <xf numFmtId="0" fontId="15" fillId="13" borderId="1" xfId="0" applyFont="1" applyFill="1" applyBorder="1" applyAlignment="1">
      <alignment horizontal="right"/>
    </xf>
    <xf numFmtId="0" fontId="15" fillId="14" borderId="1" xfId="0" applyFont="1" applyFill="1" applyBorder="1" applyAlignment="1">
      <alignment horizontal="right"/>
    </xf>
    <xf numFmtId="0" fontId="15" fillId="12" borderId="1" xfId="0" applyFont="1" applyFill="1" applyBorder="1" applyAlignment="1">
      <alignment horizontal="right"/>
    </xf>
    <xf numFmtId="0" fontId="18" fillId="22" borderId="2" xfId="0" applyFont="1" applyFill="1" applyBorder="1" applyAlignment="1">
      <alignment horizontal="center"/>
    </xf>
    <xf numFmtId="0" fontId="19" fillId="0" borderId="2" xfId="0" applyFont="1" applyBorder="1" applyAlignment="1">
      <alignment horizontal="right"/>
    </xf>
    <xf numFmtId="0" fontId="18" fillId="22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18" fontId="19" fillId="0" borderId="1" xfId="0" applyNumberFormat="1" applyFont="1" applyBorder="1" applyAlignment="1">
      <alignment horizontal="center"/>
    </xf>
    <xf numFmtId="164" fontId="19" fillId="0" borderId="2" xfId="0" applyNumberFormat="1" applyFont="1" applyBorder="1" applyAlignment="1">
      <alignment horizontal="center"/>
    </xf>
    <xf numFmtId="166" fontId="19" fillId="0" borderId="1" xfId="0" applyNumberFormat="1" applyFont="1" applyBorder="1" applyAlignment="1">
      <alignment horizontal="center"/>
    </xf>
    <xf numFmtId="165" fontId="19" fillId="0" borderId="1" xfId="0" applyNumberFormat="1" applyFont="1" applyBorder="1" applyAlignment="1">
      <alignment horizontal="center"/>
    </xf>
    <xf numFmtId="165" fontId="15" fillId="1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1" fillId="0" borderId="0" xfId="0" applyFont="1" applyAlignment="1">
      <alignment horizontal="right"/>
    </xf>
    <xf numFmtId="166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17" fillId="23" borderId="1" xfId="0" applyFont="1" applyFill="1" applyBorder="1" applyAlignment="1">
      <alignment horizontal="center"/>
    </xf>
    <xf numFmtId="18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1" fillId="0" borderId="1" xfId="0" applyNumberFormat="1" applyFon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1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right"/>
    </xf>
    <xf numFmtId="0" fontId="11" fillId="17" borderId="1" xfId="0" applyFont="1" applyFill="1" applyBorder="1" applyAlignment="1">
      <alignment horizontal="right"/>
    </xf>
    <xf numFmtId="168" fontId="11" fillId="17" borderId="1" xfId="0" applyNumberFormat="1" applyFont="1" applyFill="1" applyBorder="1" applyAlignment="1">
      <alignment horizontal="center"/>
    </xf>
    <xf numFmtId="0" fontId="0" fillId="17" borderId="1" xfId="0" applyFill="1" applyBorder="1"/>
    <xf numFmtId="165" fontId="0" fillId="12" borderId="2" xfId="0" applyNumberFormat="1" applyFont="1" applyFill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65" fontId="0" fillId="0" borderId="2" xfId="0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9" fillId="24" borderId="1" xfId="0" applyNumberFormat="1" applyFont="1" applyFill="1" applyBorder="1" applyAlignment="1" applyProtection="1">
      <alignment horizontal="center" vertical="center"/>
    </xf>
    <xf numFmtId="0" fontId="9" fillId="25" borderId="1" xfId="0" applyNumberFormat="1" applyFont="1" applyFill="1" applyBorder="1" applyAlignment="1" applyProtection="1">
      <alignment horizontal="center" vertical="center"/>
    </xf>
    <xf numFmtId="0" fontId="5" fillId="26" borderId="1" xfId="0" applyNumberFormat="1" applyFont="1" applyFill="1" applyBorder="1" applyAlignment="1" applyProtection="1">
      <alignment horizontal="center" vertical="center"/>
      <protection locked="0"/>
    </xf>
    <xf numFmtId="1" fontId="9" fillId="24" borderId="1" xfId="0" applyNumberFormat="1" applyFont="1" applyFill="1" applyBorder="1" applyAlignment="1" applyProtection="1">
      <alignment horizontal="center" vertical="center"/>
    </xf>
    <xf numFmtId="1" fontId="9" fillId="25" borderId="1" xfId="0" applyNumberFormat="1" applyFont="1" applyFill="1" applyBorder="1" applyAlignment="1" applyProtection="1">
      <alignment horizontal="center" vertical="center"/>
    </xf>
    <xf numFmtId="164" fontId="9" fillId="24" borderId="1" xfId="0" applyNumberFormat="1" applyFont="1" applyFill="1" applyBorder="1" applyAlignment="1" applyProtection="1">
      <alignment horizontal="center" vertical="center"/>
    </xf>
    <xf numFmtId="164" fontId="9" fillId="25" borderId="1" xfId="0" applyNumberFormat="1" applyFont="1" applyFill="1" applyBorder="1" applyAlignment="1" applyProtection="1">
      <alignment horizontal="center" vertical="center"/>
    </xf>
    <xf numFmtId="165" fontId="9" fillId="24" borderId="1" xfId="0" applyNumberFormat="1" applyFont="1" applyFill="1" applyBorder="1" applyAlignment="1" applyProtection="1">
      <alignment horizontal="center" vertical="center"/>
    </xf>
    <xf numFmtId="165" fontId="9" fillId="25" borderId="1" xfId="0" applyNumberFormat="1" applyFont="1" applyFill="1" applyBorder="1" applyAlignment="1" applyProtection="1">
      <alignment horizontal="center" vertical="center"/>
    </xf>
    <xf numFmtId="165" fontId="5" fillId="26" borderId="1" xfId="0" applyNumberFormat="1" applyFont="1" applyFill="1" applyBorder="1" applyAlignment="1" applyProtection="1">
      <alignment horizontal="center" vertical="center"/>
      <protection locked="0"/>
    </xf>
    <xf numFmtId="49" fontId="5" fillId="12" borderId="1" xfId="0" applyNumberFormat="1" applyFont="1" applyFill="1" applyBorder="1" applyAlignment="1" applyProtection="1">
      <alignment horizontal="center" vertical="center"/>
      <protection locked="0"/>
    </xf>
    <xf numFmtId="49" fontId="5" fillId="26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/>
    <xf numFmtId="0" fontId="0" fillId="0" borderId="0" xfId="0"/>
    <xf numFmtId="0" fontId="3" fillId="4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21" borderId="0" xfId="0" applyFont="1" applyFill="1"/>
    <xf numFmtId="0" fontId="16" fillId="12" borderId="0" xfId="0" applyFont="1" applyFill="1" applyAlignment="1">
      <alignment horizontal="center"/>
    </xf>
    <xf numFmtId="0" fontId="0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2" fillId="21" borderId="0" xfId="0" applyFont="1" applyFill="1" applyAlignment="1">
      <alignment horizontal="center"/>
    </xf>
    <xf numFmtId="0" fontId="13" fillId="22" borderId="0" xfId="0" applyFont="1" applyFill="1" applyAlignment="1">
      <alignment horizontal="center"/>
    </xf>
    <xf numFmtId="0" fontId="17" fillId="21" borderId="0" xfId="0" applyFont="1" applyFill="1" applyAlignment="1">
      <alignment horizontal="right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12" borderId="1" xfId="0" applyNumberFormat="1" applyFont="1" applyFill="1" applyBorder="1" applyAlignment="1" applyProtection="1">
      <alignment horizontal="center" vertical="center"/>
      <protection locked="0"/>
    </xf>
    <xf numFmtId="0" fontId="0" fillId="27" borderId="0" xfId="0" applyNumberFormat="1" applyFill="1" applyAlignment="1" applyProtection="1">
      <alignment horizontal="center"/>
    </xf>
    <xf numFmtId="0" fontId="0" fillId="27" borderId="0" xfId="0" applyNumberFormat="1" applyFill="1" applyAlignment="1" applyProtection="1">
      <alignment horizontal="center"/>
      <protection locked="0"/>
    </xf>
    <xf numFmtId="166" fontId="0" fillId="27" borderId="0" xfId="0" applyNumberFormat="1" applyFill="1" applyAlignment="1" applyProtection="1">
      <alignment horizontal="center"/>
    </xf>
    <xf numFmtId="164" fontId="0" fillId="27" borderId="0" xfId="0" applyNumberFormat="1" applyFill="1" applyAlignment="1" applyProtection="1">
      <alignment horizontal="center"/>
      <protection locked="0"/>
    </xf>
    <xf numFmtId="165" fontId="0" fillId="27" borderId="0" xfId="0" applyNumberFormat="1" applyFill="1" applyAlignment="1" applyProtection="1">
      <alignment horizontal="center"/>
      <protection locked="0"/>
    </xf>
    <xf numFmtId="167" fontId="0" fillId="27" borderId="0" xfId="0" applyNumberFormat="1" applyFill="1" applyAlignment="1" applyProtection="1">
      <alignment horizontal="center"/>
      <protection locked="0"/>
    </xf>
    <xf numFmtId="164" fontId="0" fillId="27" borderId="0" xfId="0" applyNumberFormat="1" applyFill="1" applyAlignment="1" applyProtection="1">
      <alignment horizontal="center"/>
    </xf>
    <xf numFmtId="165" fontId="0" fillId="27" borderId="0" xfId="0" applyNumberFormat="1" applyFill="1" applyAlignment="1" applyProtection="1">
      <alignment horizontal="center"/>
    </xf>
    <xf numFmtId="0" fontId="22" fillId="4" borderId="1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center" vertical="center"/>
    </xf>
    <xf numFmtId="0" fontId="3" fillId="22" borderId="0" xfId="0" applyFont="1" applyFill="1" applyBorder="1" applyAlignment="1">
      <alignment horizontal="center" vertical="center"/>
    </xf>
    <xf numFmtId="0" fontId="24" fillId="28" borderId="0" xfId="0" applyFont="1" applyFill="1" applyAlignment="1">
      <alignment horizontal="center"/>
    </xf>
    <xf numFmtId="9" fontId="25" fillId="0" borderId="0" xfId="0" applyNumberFormat="1" applyFont="1" applyAlignment="1">
      <alignment horizontal="center"/>
    </xf>
    <xf numFmtId="0" fontId="4" fillId="28" borderId="1" xfId="0" applyFont="1" applyFill="1" applyBorder="1" applyAlignment="1">
      <alignment horizontal="center" vertical="center"/>
    </xf>
    <xf numFmtId="0" fontId="24" fillId="28" borderId="1" xfId="0" applyFont="1" applyFill="1" applyBorder="1" applyAlignment="1">
      <alignment horizontal="center"/>
    </xf>
    <xf numFmtId="0" fontId="25" fillId="0" borderId="1" xfId="0" applyFont="1" applyBorder="1" applyAlignment="1">
      <alignment horizontal="center"/>
    </xf>
    <xf numFmtId="9" fontId="25" fillId="0" borderId="1" xfId="0" applyNumberFormat="1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7" fillId="4" borderId="0" xfId="0" applyFont="1" applyFill="1" applyBorder="1" applyAlignment="1">
      <alignment horizontal="center" vertical="center" wrapText="1"/>
    </xf>
    <xf numFmtId="9" fontId="5" fillId="12" borderId="0" xfId="0" applyNumberFormat="1" applyFont="1" applyFill="1" applyBorder="1" applyAlignment="1" applyProtection="1">
      <alignment horizontal="center" vertical="center"/>
    </xf>
    <xf numFmtId="9" fontId="5" fillId="13" borderId="0" xfId="0" applyNumberFormat="1" applyFont="1" applyFill="1" applyBorder="1" applyAlignment="1" applyProtection="1">
      <alignment horizontal="center" vertical="center"/>
    </xf>
    <xf numFmtId="9" fontId="5" fillId="14" borderId="0" xfId="0" applyNumberFormat="1" applyFont="1" applyFill="1" applyBorder="1" applyAlignment="1" applyProtection="1">
      <alignment horizontal="center" vertical="center"/>
    </xf>
    <xf numFmtId="9" fontId="5" fillId="15" borderId="0" xfId="0" applyNumberFormat="1" applyFont="1" applyFill="1" applyBorder="1" applyAlignment="1" applyProtection="1">
      <alignment horizontal="center" vertical="center"/>
    </xf>
    <xf numFmtId="9" fontId="5" fillId="16" borderId="0" xfId="0" applyNumberFormat="1" applyFont="1" applyFill="1" applyBorder="1" applyAlignment="1" applyProtection="1">
      <alignment horizontal="center" vertical="center"/>
    </xf>
    <xf numFmtId="9" fontId="0" fillId="17" borderId="0" xfId="0" applyNumberFormat="1" applyFill="1" applyAlignment="1" applyProtection="1">
      <alignment horizontal="center"/>
    </xf>
    <xf numFmtId="9" fontId="0" fillId="27" borderId="0" xfId="0" applyNumberFormat="1" applyFill="1" applyAlignment="1" applyProtection="1">
      <alignment horizontal="center"/>
    </xf>
    <xf numFmtId="165" fontId="28" fillId="12" borderId="0" xfId="0" applyNumberFormat="1" applyFont="1" applyFill="1" applyBorder="1" applyAlignment="1" applyProtection="1">
      <alignment horizontal="center" vertical="center"/>
    </xf>
    <xf numFmtId="165" fontId="28" fillId="13" borderId="0" xfId="0" applyNumberFormat="1" applyFont="1" applyFill="1" applyBorder="1" applyAlignment="1" applyProtection="1">
      <alignment horizontal="center" vertical="center"/>
    </xf>
    <xf numFmtId="165" fontId="28" fillId="14" borderId="0" xfId="0" applyNumberFormat="1" applyFont="1" applyFill="1" applyBorder="1" applyAlignment="1" applyProtection="1">
      <alignment horizontal="center" vertical="center"/>
    </xf>
    <xf numFmtId="165" fontId="28" fillId="15" borderId="0" xfId="0" applyNumberFormat="1" applyFont="1" applyFill="1" applyBorder="1" applyAlignment="1" applyProtection="1">
      <alignment horizontal="center" vertical="center"/>
    </xf>
    <xf numFmtId="165" fontId="28" fillId="16" borderId="0" xfId="0" applyNumberFormat="1" applyFont="1" applyFill="1" applyBorder="1" applyAlignment="1" applyProtection="1">
      <alignment horizontal="center" vertical="center"/>
    </xf>
    <xf numFmtId="165" fontId="26" fillId="17" borderId="0" xfId="0" applyNumberFormat="1" applyFont="1" applyFill="1" applyAlignment="1" applyProtection="1">
      <alignment horizontal="center"/>
    </xf>
    <xf numFmtId="165" fontId="26" fillId="27" borderId="0" xfId="0" applyNumberFormat="1" applyFont="1" applyFill="1" applyAlignment="1" applyProtection="1">
      <alignment horizontal="center"/>
    </xf>
    <xf numFmtId="0" fontId="29" fillId="12" borderId="1" xfId="0" applyNumberFormat="1" applyFont="1" applyFill="1" applyBorder="1" applyAlignment="1" applyProtection="1">
      <alignment horizontal="center" vertical="center"/>
    </xf>
    <xf numFmtId="0" fontId="29" fillId="13" borderId="1" xfId="0" applyNumberFormat="1" applyFont="1" applyFill="1" applyBorder="1" applyAlignment="1" applyProtection="1">
      <alignment horizontal="center" vertical="center"/>
    </xf>
    <xf numFmtId="0" fontId="29" fillId="14" borderId="1" xfId="0" applyNumberFormat="1" applyFont="1" applyFill="1" applyBorder="1" applyAlignment="1" applyProtection="1">
      <alignment horizontal="center" vertical="center"/>
    </xf>
    <xf numFmtId="0" fontId="29" fillId="15" borderId="1" xfId="0" applyNumberFormat="1" applyFont="1" applyFill="1" applyBorder="1" applyAlignment="1" applyProtection="1">
      <alignment horizontal="center" vertical="center"/>
    </xf>
    <xf numFmtId="0" fontId="29" fillId="16" borderId="1" xfId="0" applyNumberFormat="1" applyFont="1" applyFill="1" applyBorder="1" applyAlignment="1" applyProtection="1">
      <alignment horizontal="center" vertical="center"/>
    </xf>
    <xf numFmtId="0" fontId="30" fillId="17" borderId="0" xfId="0" applyNumberFormat="1" applyFont="1" applyFill="1" applyAlignment="1" applyProtection="1">
      <alignment horizontal="center"/>
    </xf>
    <xf numFmtId="0" fontId="30" fillId="27" borderId="0" xfId="0" applyNumberFormat="1" applyFont="1" applyFill="1" applyAlignment="1" applyProtection="1">
      <alignment horizontal="center"/>
    </xf>
  </cellXfs>
  <cellStyles count="1">
    <cellStyle name="Normal" xfId="0" builtinId="0"/>
  </cellStyles>
  <dxfs count="93">
    <dxf>
      <font>
        <color rgb="FF808080"/>
      </font>
      <numFmt numFmtId="165" formatCode="#,##0.000"/>
      <alignment horizontal="center" textRotation="0" indent="0" justifyLastLine="0" shrinkToFit="0" readingOrder="0"/>
      <protection locked="1" hidden="0"/>
    </dxf>
    <dxf>
      <numFmt numFmtId="13" formatCode="0%"/>
      <alignment horizontal="center" textRotation="0" indent="0" justifyLastLine="0" shrinkToFit="0" readingOrder="0"/>
      <protection locked="1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1" hidden="0"/>
    </dxf>
    <dxf>
      <numFmt numFmtId="165" formatCode="#,##0.000"/>
      <alignment horizontal="center" textRotation="0" indent="0" justifyLastLine="0" shrinkToFit="0" readingOrder="0"/>
      <protection locked="1" hidden="0"/>
    </dxf>
    <dxf>
      <numFmt numFmtId="0" formatCode="General"/>
      <alignment horizontal="center" textRotation="0" indent="0" justifyLastLine="0" shrinkToFit="0" readingOrder="0"/>
      <protection locked="1" hidden="0"/>
    </dxf>
    <dxf>
      <numFmt numFmtId="0" formatCode="General"/>
      <alignment horizontal="center" textRotation="0" indent="0" justifyLastLine="0" shrinkToFit="0" readingOrder="0"/>
      <protection locked="1" hidden="0"/>
    </dxf>
    <dxf>
      <numFmt numFmtId="165" formatCode="#,##0.000"/>
      <alignment horizontal="center" textRotation="0" indent="0" justifyLastLine="0" shrinkToFit="0" readingOrder="0"/>
      <protection locked="1" hidden="0"/>
    </dxf>
    <dxf>
      <numFmt numFmtId="164" formatCode="#,##0.0"/>
      <alignment horizontal="center" textRotation="0" indent="0" justifyLastLine="0" shrinkToFit="0" readingOrder="0"/>
      <protection locked="1" hidden="0"/>
    </dxf>
    <dxf>
      <numFmt numFmtId="165" formatCode="#,##0.000"/>
      <alignment horizontal="center" textRotation="0" indent="0" justifyLastLine="0" shrinkToFit="0" readingOrder="0"/>
      <protection locked="1" hidden="0"/>
    </dxf>
    <dxf>
      <numFmt numFmtId="165" formatCode="#,##0.000"/>
      <alignment horizontal="center" textRotation="0" indent="0" justifyLastLine="0" shrinkToFit="0" readingOrder="0"/>
      <protection locked="1" hidden="0"/>
    </dxf>
    <dxf>
      <numFmt numFmtId="164" formatCode="#,##0.0"/>
      <alignment horizontal="center" textRotation="0" indent="0" justifyLastLine="0" shrinkToFit="0" readingOrder="0"/>
      <protection locked="1" hidden="0"/>
    </dxf>
    <dxf>
      <numFmt numFmtId="164" formatCode="#,##0.0"/>
      <alignment horizontal="center" textRotation="0" indent="0" justifyLastLine="0" shrinkToFit="0" readingOrder="0"/>
      <protection locked="1" hidden="0"/>
    </dxf>
    <dxf>
      <numFmt numFmtId="164" formatCode="#,##0.0"/>
      <alignment horizontal="center" textRotation="0" indent="0" justifyLastLine="0" shrinkToFit="0" readingOrder="0"/>
      <protection locked="0" hidden="0"/>
    </dxf>
    <dxf>
      <numFmt numFmtId="164" formatCode="#,##0.0"/>
      <alignment horizontal="center" textRotation="0" indent="0" justifyLastLine="0" shrinkToFit="0" readingOrder="0"/>
      <protection locked="1" hidden="0"/>
    </dxf>
    <dxf>
      <numFmt numFmtId="167" formatCode="hh:mm"/>
      <alignment horizontal="center" textRotation="0" indent="0" justifyLastLine="0" shrinkToFit="0" readingOrder="0"/>
      <protection locked="0" hidden="0"/>
    </dxf>
    <dxf>
      <numFmt numFmtId="167" formatCode="hh:mm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167" formatCode="hh:mm"/>
      <alignment horizontal="center" textRotation="0" indent="0" justifyLastLine="0" shrinkToFit="0" readingOrder="0"/>
      <protection locked="0" hidden="0"/>
    </dxf>
    <dxf>
      <numFmt numFmtId="167" formatCode="hh:mm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font>
        <i/>
        <color rgb="FF548235"/>
      </font>
      <numFmt numFmtId="0" formatCode="General"/>
      <alignment horizontal="center"/>
      <protection locked="1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165" formatCode="#,##0.000"/>
      <alignment horizontal="center" textRotation="0" indent="0" justifyLastLine="0" shrinkToFit="0" readingOrder="0"/>
      <protection locked="0" hidden="0"/>
    </dxf>
    <dxf>
      <numFmt numFmtId="165" formatCode="#,##0.000"/>
      <alignment horizontal="center" textRotation="0" indent="0" justifyLastLine="0" shrinkToFit="0" readingOrder="0"/>
      <protection locked="0" hidden="0"/>
    </dxf>
    <dxf>
      <numFmt numFmtId="164" formatCode="#,##0.0"/>
      <alignment horizontal="center" textRotation="0" indent="0" justifyLastLine="0" shrinkToFit="0" readingOrder="0"/>
      <protection locked="0" hidden="0"/>
    </dxf>
    <dxf>
      <numFmt numFmtId="166" formatCode="yyyy\-mm\-dd"/>
      <alignment horizontal="center" textRotation="0" indent="0" justifyLastLine="0" shrinkToFit="0" readingOrder="0"/>
      <protection locked="1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0" hidden="0"/>
    </dxf>
    <dxf>
      <numFmt numFmtId="0" formatCode="General"/>
      <alignment horizontal="center" textRotation="0" indent="0" justifyLastLine="0" shrinkToFit="0" readingOrder="0"/>
      <protection locked="1" hidden="0"/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0B2"/>
          <bgColor rgb="FFFFE0B2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/>
        <color rgb="FFC00000"/>
      </font>
    </dxf>
    <dxf>
      <fill>
        <patternFill patternType="solid">
          <fgColor indexed="64"/>
          <bgColor rgb="FFD6ECEC"/>
        </patternFill>
      </fill>
    </dxf>
    <dxf>
      <fill>
        <patternFill patternType="solid">
          <fgColor indexed="64"/>
          <bgColor rgb="FFE4DFEC"/>
        </patternFill>
      </fill>
    </dxf>
    <dxf>
      <fill>
        <patternFill patternType="solid">
          <fgColor indexed="64"/>
          <bgColor rgb="FFFCE4D6"/>
        </patternFill>
      </fill>
    </dxf>
    <dxf>
      <fill>
        <patternFill patternType="solid">
          <fgColor indexed="64"/>
          <bgColor rgb="FFE2EFDA"/>
        </patternFill>
      </fill>
    </dxf>
    <dxf>
      <fill>
        <patternFill patternType="solid">
          <fgColor indexed="64"/>
          <bgColor rgb="FFDDEBF7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0B2"/>
          <bgColor rgb="FFFFE0B2"/>
        </patternFill>
      </fill>
    </dxf>
    <dxf>
      <fill>
        <patternFill patternType="solid">
          <fgColor rgb="FFC6EFCE"/>
          <bgColor rgb="FFC6EFCE"/>
        </patternFill>
      </fill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  <border outline="0">
        <left style="thin">
          <color rgb="FFBFBFBF"/>
        </left>
      </border>
      <protection locked="0" hidden="0"/>
    </dxf>
    <dxf>
      <numFmt numFmtId="165" formatCode="#,##0.000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1" hidden="0"/>
    </dxf>
    <dxf>
      <numFmt numFmtId="165" formatCode="#,##0.000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1" hidden="0"/>
    </dxf>
    <dxf>
      <numFmt numFmtId="165" formatCode="#,##0.000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1" hidden="0"/>
    </dxf>
    <dxf>
      <numFmt numFmtId="165" formatCode="#,##0.000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0" hidden="0"/>
    </dxf>
    <dxf>
      <numFmt numFmtId="165" formatCode="#,##0.000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1" hidden="0"/>
    </dxf>
    <dxf>
      <numFmt numFmtId="164" formatCode="#,##0.0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1" hidden="0"/>
    </dxf>
    <dxf>
      <numFmt numFmtId="1" formatCode="0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1" hidden="0"/>
    </dxf>
    <dxf>
      <numFmt numFmtId="1" formatCode="0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1" hidden="0"/>
    </dxf>
    <dxf>
      <numFmt numFmtId="0" formatCode="General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1" hidden="0"/>
    </dxf>
    <dxf>
      <numFmt numFmtId="0" formatCode="General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0" hidden="0"/>
    </dxf>
    <dxf>
      <numFmt numFmtId="0" formatCode="General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0" hidden="0"/>
    </dxf>
    <dxf>
      <numFmt numFmtId="0" formatCode="General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0" hidden="0"/>
    </dxf>
    <dxf>
      <numFmt numFmtId="30" formatCode="@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0" hidden="0"/>
    </dxf>
    <dxf>
      <numFmt numFmtId="0" formatCode="General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0" hidden="0"/>
    </dxf>
    <dxf>
      <numFmt numFmtId="0" formatCode="General"/>
      <alignment horizontal="center" textRotation="0" indent="0" justifyLastLine="0" shrinkToFit="0" readingOrder="0"/>
      <border outline="0">
        <left style="thin">
          <color rgb="FFBFBFBF"/>
        </left>
        <right style="thin">
          <color rgb="FFBFBFBF"/>
        </right>
      </border>
      <protection locked="0" hidden="0"/>
    </dxf>
    <dxf>
      <numFmt numFmtId="0" formatCode="General"/>
      <alignment horizontal="center" textRotation="0" indent="0" justifyLastLine="0" shrinkToFit="0" readingOrder="0"/>
      <border outline="0">
        <right style="thin">
          <color rgb="FFBFBFBF"/>
        </right>
      </border>
      <protection locked="1" hidden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ar-KW"/>
              <a:t>المحصّل · مدفوعات المعلمين · المصروفات · صافي التدفق (شهرياً)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'لوحة التحكم'!$H$5</c:f>
              <c:strCache>
                <c:ptCount val="1"/>
                <c:pt idx="0">
                  <c:v>المحصّل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'لوحة التحكم'!$G$6:$G$17</c:f>
              <c:strCache>
                <c:ptCount val="12"/>
                <c:pt idx="0">
                  <c:v>يناير</c:v>
                </c:pt>
                <c:pt idx="1">
                  <c:v>فبراير</c:v>
                </c:pt>
                <c:pt idx="2">
                  <c:v>مارس</c:v>
                </c:pt>
                <c:pt idx="3">
                  <c:v>أبريل</c:v>
                </c:pt>
                <c:pt idx="4">
                  <c:v>مايو</c:v>
                </c:pt>
                <c:pt idx="5">
                  <c:v>يونيو</c:v>
                </c:pt>
                <c:pt idx="6">
                  <c:v>يوليو</c:v>
                </c:pt>
                <c:pt idx="7">
                  <c:v>أغسطس</c:v>
                </c:pt>
                <c:pt idx="8">
                  <c:v>سبتمبر</c:v>
                </c:pt>
                <c:pt idx="9">
                  <c:v>أكتوبر</c:v>
                </c:pt>
                <c:pt idx="10">
                  <c:v>نوفمبر</c:v>
                </c:pt>
                <c:pt idx="11">
                  <c:v>ديسمبر</c:v>
                </c:pt>
              </c:strCache>
            </c:strRef>
          </c:cat>
          <c:val>
            <c:numRef>
              <c:f>'لوحة التحكم'!$H$6:$H$17</c:f>
              <c:numCache>
                <c:formatCode>#,##0.000</c:formatCode>
                <c:ptCount val="12"/>
                <c:pt idx="0">
                  <c:v>0</c:v>
                </c:pt>
                <c:pt idx="1">
                  <c:v>156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F-48AA-9B16-3D149A974452}"/>
            </c:ext>
          </c:extLst>
        </c:ser>
        <c:ser>
          <c:idx val="1"/>
          <c:order val="1"/>
          <c:tx>
            <c:strRef>
              <c:f>'لوحة التحكم'!$I$5</c:f>
              <c:strCache>
                <c:ptCount val="1"/>
                <c:pt idx="0">
                  <c:v>مدفوعات المعلمين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'لوحة التحكم'!$G$6:$G$17</c:f>
              <c:strCache>
                <c:ptCount val="12"/>
                <c:pt idx="0">
                  <c:v>يناير</c:v>
                </c:pt>
                <c:pt idx="1">
                  <c:v>فبراير</c:v>
                </c:pt>
                <c:pt idx="2">
                  <c:v>مارس</c:v>
                </c:pt>
                <c:pt idx="3">
                  <c:v>أبريل</c:v>
                </c:pt>
                <c:pt idx="4">
                  <c:v>مايو</c:v>
                </c:pt>
                <c:pt idx="5">
                  <c:v>يونيو</c:v>
                </c:pt>
                <c:pt idx="6">
                  <c:v>يوليو</c:v>
                </c:pt>
                <c:pt idx="7">
                  <c:v>أغسطس</c:v>
                </c:pt>
                <c:pt idx="8">
                  <c:v>سبتمبر</c:v>
                </c:pt>
                <c:pt idx="9">
                  <c:v>أكتوبر</c:v>
                </c:pt>
                <c:pt idx="10">
                  <c:v>نوفمبر</c:v>
                </c:pt>
                <c:pt idx="11">
                  <c:v>ديسمبر</c:v>
                </c:pt>
              </c:strCache>
            </c:strRef>
          </c:cat>
          <c:val>
            <c:numRef>
              <c:f>'لوحة التحكم'!$I$6:$I$17</c:f>
              <c:numCache>
                <c:formatCode>#,##0.000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1F-48AA-9B16-3D149A974452}"/>
            </c:ext>
          </c:extLst>
        </c:ser>
        <c:ser>
          <c:idx val="2"/>
          <c:order val="2"/>
          <c:tx>
            <c:strRef>
              <c:f>'لوحة التحكم'!$J$5</c:f>
              <c:strCache>
                <c:ptCount val="1"/>
                <c:pt idx="0">
                  <c:v>المصروفات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'لوحة التحكم'!$G$6:$G$17</c:f>
              <c:strCache>
                <c:ptCount val="12"/>
                <c:pt idx="0">
                  <c:v>يناير</c:v>
                </c:pt>
                <c:pt idx="1">
                  <c:v>فبراير</c:v>
                </c:pt>
                <c:pt idx="2">
                  <c:v>مارس</c:v>
                </c:pt>
                <c:pt idx="3">
                  <c:v>أبريل</c:v>
                </c:pt>
                <c:pt idx="4">
                  <c:v>مايو</c:v>
                </c:pt>
                <c:pt idx="5">
                  <c:v>يونيو</c:v>
                </c:pt>
                <c:pt idx="6">
                  <c:v>يوليو</c:v>
                </c:pt>
                <c:pt idx="7">
                  <c:v>أغسطس</c:v>
                </c:pt>
                <c:pt idx="8">
                  <c:v>سبتمبر</c:v>
                </c:pt>
                <c:pt idx="9">
                  <c:v>أكتوبر</c:v>
                </c:pt>
                <c:pt idx="10">
                  <c:v>نوفمبر</c:v>
                </c:pt>
                <c:pt idx="11">
                  <c:v>ديسمبر</c:v>
                </c:pt>
              </c:strCache>
            </c:strRef>
          </c:cat>
          <c:val>
            <c:numRef>
              <c:f>'لوحة التحكم'!$J$6:$J$17</c:f>
              <c:numCache>
                <c:formatCode>#,##0.000</c:formatCode>
                <c:ptCount val="12"/>
                <c:pt idx="0">
                  <c:v>0</c:v>
                </c:pt>
                <c:pt idx="1">
                  <c:v>13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1F-48AA-9B16-3D149A974452}"/>
            </c:ext>
          </c:extLst>
        </c:ser>
        <c:ser>
          <c:idx val="3"/>
          <c:order val="3"/>
          <c:tx>
            <c:strRef>
              <c:f>'لوحة التحكم'!$K$5</c:f>
              <c:strCache>
                <c:ptCount val="1"/>
                <c:pt idx="0">
                  <c:v>صافي التدفق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'لوحة التحكم'!$G$6:$G$17</c:f>
              <c:strCache>
                <c:ptCount val="12"/>
                <c:pt idx="0">
                  <c:v>يناير</c:v>
                </c:pt>
                <c:pt idx="1">
                  <c:v>فبراير</c:v>
                </c:pt>
                <c:pt idx="2">
                  <c:v>مارس</c:v>
                </c:pt>
                <c:pt idx="3">
                  <c:v>أبريل</c:v>
                </c:pt>
                <c:pt idx="4">
                  <c:v>مايو</c:v>
                </c:pt>
                <c:pt idx="5">
                  <c:v>يونيو</c:v>
                </c:pt>
                <c:pt idx="6">
                  <c:v>يوليو</c:v>
                </c:pt>
                <c:pt idx="7">
                  <c:v>أغسطس</c:v>
                </c:pt>
                <c:pt idx="8">
                  <c:v>سبتمبر</c:v>
                </c:pt>
                <c:pt idx="9">
                  <c:v>أكتوبر</c:v>
                </c:pt>
                <c:pt idx="10">
                  <c:v>نوفمبر</c:v>
                </c:pt>
                <c:pt idx="11">
                  <c:v>ديسمبر</c:v>
                </c:pt>
              </c:strCache>
            </c:strRef>
          </c:cat>
          <c:val>
            <c:numRef>
              <c:f>'لوحة التحكم'!$K$6:$K$17</c:f>
              <c:numCache>
                <c:formatCode>#,##0.000</c:formatCode>
                <c:ptCount val="12"/>
                <c:pt idx="0">
                  <c:v>0</c:v>
                </c:pt>
                <c:pt idx="1">
                  <c:v>143</c:v>
                </c:pt>
                <c:pt idx="2">
                  <c:v>-24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1F-48AA-9B16-3D149A974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,##0.0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19</xdr:row>
      <xdr:rowOff>0</xdr:rowOff>
    </xdr:from>
    <xdr:ext cx="612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tudents" displayName="TblStudents" ref="A3:AM11" headerRowDxfId="92" dataDxfId="91" totalsRowDxfId="90">
  <tableColumns count="39">
    <tableColumn id="1" xr3:uid="{00000000-0010-0000-0000-000001000000}" name="رقم التسجيل" dataDxfId="38">
      <calculatedColumnFormula>IF($B4="","","STD-"&amp;TEXT(ROW()-3,"0000"))</calculatedColumnFormula>
    </tableColumn>
    <tableColumn id="2" xr3:uid="{00000000-0010-0000-0000-000002000000}" name="الاسم" dataDxfId="37"/>
    <tableColumn id="3" xr3:uid="{00000000-0010-0000-0000-000003000000}" name="الهاتف" dataDxfId="36"/>
    <tableColumn id="4" xr3:uid="{00000000-0010-0000-0000-000004000000}" name="هاتف ولي الأمر" dataDxfId="35"/>
    <tableColumn id="5" xr3:uid="{00000000-0010-0000-0000-000005000000}" name="المرحلة" dataDxfId="34"/>
    <tableColumn id="6" xr3:uid="{00000000-0010-0000-0000-000006000000}" name="الصف" dataDxfId="33"/>
    <tableColumn id="7" xr3:uid="{00000000-0010-0000-0000-000007000000}" name="المنهج" dataDxfId="32"/>
    <tableColumn id="8" xr3:uid="{00000000-0010-0000-0000-000008000000}" name="المحافظة" dataDxfId="31"/>
    <tableColumn id="9" xr3:uid="{00000000-0010-0000-0000-000009000000}" name="المنطقة" dataDxfId="30"/>
    <tableColumn id="10" xr3:uid="{00000000-0010-0000-0000-00000A000000}" name="العنوان" dataDxfId="29"/>
    <tableColumn id="11" xr3:uid="{00000000-0010-0000-0000-00000B000000}" name="مجموعة الإخوة" dataDxfId="28"/>
    <tableColumn id="12" xr3:uid="{00000000-0010-0000-0000-00000C000000}" name="تاريخ التسجيل" dataDxfId="27"/>
    <tableColumn id="13" xr3:uid="{00000000-0010-0000-0000-00000D000000}" name="ساعات الاشتراك (إضافة)" dataDxfId="26"/>
    <tableColumn id="14" xr3:uid="{00000000-0010-0000-0000-00000E000000}" name="المبلغ الكلي (إضافة)" dataDxfId="25"/>
    <tableColumn id="15" xr3:uid="{00000000-0010-0000-0000-00000F000000}" name="المبلغ المدفوع (إضافة)" dataDxfId="24"/>
    <tableColumn id="16" xr3:uid="{00000000-0010-0000-0000-000010000000}" name="المادة" dataDxfId="23"/>
    <tableColumn id="17" xr3:uid="{00000000-0010-0000-0000-000011000000}" name="المعلم" dataDxfId="22"/>
    <tableColumn id="39" xr3:uid="{68FFD314-CE7C-417B-8457-AB262F7E7518}" name="تخصص المعلم" dataDxfId="21">
      <calculatedColumnFormula>IF(TblStudents[[#This Row],[المعلم]]="","",IFERROR(INDEX(المعلمون!$C$4:$C$56,MATCH(TblStudents[[#This Row],[المعلم]],المعلمون!$B$4:$B$56,0)),""))</calculatedColumnFormula>
    </tableColumn>
    <tableColumn id="18" xr3:uid="{00000000-0010-0000-0000-000012000000}" name="اليوم 1" dataDxfId="20"/>
    <tableColumn id="19" xr3:uid="{00000000-0010-0000-0000-000013000000}" name="من (1)" dataDxfId="19"/>
    <tableColumn id="20" xr3:uid="{00000000-0010-0000-0000-000014000000}" name="إلى (1)" dataDxfId="18"/>
    <tableColumn id="21" xr3:uid="{00000000-0010-0000-0000-000015000000}" name="اليوم 2" dataDxfId="17"/>
    <tableColumn id="22" xr3:uid="{00000000-0010-0000-0000-000016000000}" name="من (2)" dataDxfId="16"/>
    <tableColumn id="23" xr3:uid="{00000000-0010-0000-0000-000017000000}" name="إلى (2)" dataDxfId="15"/>
    <tableColumn id="24" xr3:uid="{00000000-0010-0000-0000-000018000000}" name="ساعات الأسبوع" dataDxfId="14">
      <calculatedColumnFormula>IF($B4="","",ROUND(IF(OR($T4="",$U4=""),0,($U4-$T4)*24)+IF(OR($W4="",$X4=""),0,($X4-$W4)*24),1))</calculatedColumnFormula>
    </tableColumn>
    <tableColumn id="25" xr3:uid="{00000000-0010-0000-0000-000019000000}" name="الساعات المستهلكة" dataDxfId="13"/>
    <tableColumn id="26" xr3:uid="{00000000-0010-0000-0000-00001A000000}" name="_رصيد كلي" dataDxfId="12">
      <calculatedColumnFormula>IF($B4="","",ROUND(SUMIF($B:$B,$B4,$M:$M),1))</calculatedColumnFormula>
    </tableColumn>
    <tableColumn id="27" xr3:uid="{00000000-0010-0000-0000-00001B000000}" name="_مستهلك كلي" dataDxfId="11">
      <calculatedColumnFormula>IF($B4="","",ROUND(SUMIF($B:$B,$B4,$Y:$Y),1))</calculatedColumnFormula>
    </tableColumn>
    <tableColumn id="28" xr3:uid="{00000000-0010-0000-0000-00001C000000}" name="_إجمالي مستحق" dataDxfId="10">
      <calculatedColumnFormula>IF(TblStudents[[#This Row],[الاسم]]="","",ROUND(SUMIF(TblStudents[الاسم],TblStudents[[#This Row],[الاسم]],TblStudents[_مستحق الصف بعد الخصم]),3))</calculatedColumnFormula>
    </tableColumn>
    <tableColumn id="29" xr3:uid="{00000000-0010-0000-0000-00001D000000}" name="_إجمالي مدفوع" dataDxfId="9">
      <calculatedColumnFormula>IF($B4="","",ROUND(SUMIF($B:$B,$B4,$O:$O),3))</calculatedColumnFormula>
    </tableColumn>
    <tableColumn id="30" xr3:uid="{00000000-0010-0000-0000-00001E000000}" name="الساعات المتبقية" dataDxfId="8">
      <calculatedColumnFormula>IF($B4="","",ROUND($AA4-$AB4,1))</calculatedColumnFormula>
    </tableColumn>
    <tableColumn id="31" xr3:uid="{00000000-0010-0000-0000-00001F000000}" name="المبلغ المتبقي" dataDxfId="7">
      <calculatedColumnFormula>IF($B4="","",ROUND($AC4-$AD4,3))</calculatedColumnFormula>
    </tableColumn>
    <tableColumn id="32" xr3:uid="{00000000-0010-0000-0000-000020000000}" name="حالة الدفع" dataDxfId="6">
      <calculatedColumnFormula>IF($B4="","",IF($AC4=0,"— لا مستحق",IF($AF4&lt;=0,"✅ دفع كامل",IF($AD4&gt;0,"🟠 دفع جزئي","❌ لم يدفع"))))</calculatedColumnFormula>
    </tableColumn>
    <tableColumn id="33" xr3:uid="{00000000-0010-0000-0000-000021000000}" name="تنبيه الرصيد" dataDxfId="5">
      <calculatedColumnFormula>IF($B4="","",IF($AE4&lt;0,"⚠ تجاوز الساعات",IF($AE4&lt;=الإعدادات!$B$7,"⚠ رصيد شارف على النفاد","✅ سليم")))</calculatedColumnFormula>
    </tableColumn>
    <tableColumn id="34" xr3:uid="{00000000-0010-0000-0000-000022000000}" name="مستحق المعلم" dataDxfId="4">
      <calculatedColumnFormula>IF($B4="","",ROUND(IF($Z4="",0,$Z4)*IFERROR(INDEX(الإعدادات!$B$11:$B$16,MATCH($E4,الإعدادات!$A$11:$A$16,0)),0)*الإعدادات!$B$8,3))</calculatedColumnFormula>
    </tableColumn>
    <tableColumn id="35" xr3:uid="{00000000-0010-0000-0000-000023000000}" name="صف رئيسي" dataDxfId="3">
      <calculatedColumnFormula>IF($B4="","",COUNTIF($B$4:$B4,$B4)=1)</calculatedColumnFormula>
    </tableColumn>
    <tableColumn id="36" xr3:uid="{00000000-0010-0000-0000-000024000000}" name="ملاحظات" dataDxfId="2"/>
    <tableColumn id="37" xr3:uid="{44CF1E42-5984-4A08-B7F3-A9848A6BB62A}" name="نسبة خصم الإخوة" dataDxfId="1" totalsRowDxfId="55">
      <calculatedColumnFormula>IF(TblStudents[[#This Row],[الاسم]]="","",IFERROR(INDEX(SIB_RATES,MATCH(TblStudents[[#This Row],[مجموعة الإخوة]],SIB_CODES,0)),0))</calculatedColumnFormula>
    </tableColumn>
    <tableColumn id="38" xr3:uid="{B4C727E1-6A14-42F0-B4FD-2FB08A47F624}" name="_مستحق الصف بعد الخصم" dataDxfId="0" totalsRowDxfId="54">
      <calculatedColumnFormula>IF(TblStudents[[#This Row],[الاسم]]="","",ROUND(TblStudents[[#This Row],[المبلغ الكلي (إضافة)]]*(1-IF(TblStudents[[#This Row],[نسبة خصم الإخوة]]="",0,TblStudents[[#This Row],[نسبة خصم الإخوة]])),3))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chers" displayName="TblTeachers" ref="A3:Q56" headerRowDxfId="89" dataDxfId="88" totalsRowDxfId="87">
  <autoFilter ref="A3:Q56" xr:uid="{00000000-000C-0000-FFFF-FFFF01000000}"/>
  <sortState xmlns:xlrd2="http://schemas.microsoft.com/office/spreadsheetml/2017/richdata2" ref="A4:Q56">
    <sortCondition ref="B4:B56"/>
  </sortState>
  <tableColumns count="17">
    <tableColumn id="1" xr3:uid="{00000000-0010-0000-0100-000001000000}" name="رقم المعلم" dataDxfId="72">
      <calculatedColumnFormula>IF($B4="","","TCH-"&amp;TEXT(ROW()-3,"0000"))</calculatedColumnFormula>
    </tableColumn>
    <tableColumn id="2" xr3:uid="{00000000-0010-0000-0100-000002000000}" name="ماهر وليد محمد" dataDxfId="71"/>
    <tableColumn id="3" xr3:uid="{00000000-0010-0000-0100-000003000000}" name="التخصص" dataDxfId="70"/>
    <tableColumn id="4" xr3:uid="{00000000-0010-0000-0100-000004000000}" name="الهاتف" dataDxfId="69"/>
    <tableColumn id="5" xr3:uid="{00000000-0010-0000-0100-000005000000}" name="المحافظة" dataDxfId="68"/>
    <tableColumn id="6" xr3:uid="{00000000-0010-0000-0100-000006000000}" name="يستخدم سيارة المعهد" dataDxfId="67"/>
    <tableColumn id="7" xr3:uid="{00000000-0010-0000-0100-000007000000}" name="الحالة" dataDxfId="66"/>
    <tableColumn id="8" xr3:uid="{00000000-0010-0000-0100-000008000000}" name="المواد التي يدرّسها" dataDxfId="65"/>
    <tableColumn id="9" xr3:uid="{00000000-0010-0000-0100-000009000000}" name="عدد التسجيلات" dataDxfId="64">
      <calculatedColumnFormula>IF($B4="","",COUNTIF(الطلاب!$Q:$Q,$B4))</calculatedColumnFormula>
    </tableColumn>
    <tableColumn id="10" xr3:uid="{00000000-0010-0000-0100-00000A000000}" name="عدد الطلاب" dataDxfId="63">
      <calculatedColumnFormula>IF($B4="","",SUMPRODUCT((الطلاب!$Q$4:$Q$2000=$B4)*(الطلاب!$B$4:$B$2000&lt;&gt;"")/COUNTIFS(الطلاب!$Q$4:$Q$2000,الطلاب!$Q$4:$Q$2000&amp;"",الطلاب!$B$4:$B$2000,الطلاب!$B$4:$B$2000&amp;"")))</calculatedColumnFormula>
    </tableColumn>
    <tableColumn id="11" xr3:uid="{00000000-0010-0000-0100-00000B000000}" name="الساعات المنفذة" dataDxfId="62">
      <calculatedColumnFormula>IF($B4="","",ROUND(SUMIF(الطلاب!$Q:$Q,$B4,الطلاب!$Y:$Y),1))</calculatedColumnFormula>
    </tableColumn>
    <tableColumn id="12" xr3:uid="{00000000-0010-0000-0100-00000C000000}" name="المستحق قبل الخصم" dataDxfId="61">
      <calculatedColumnFormula>IF($B4="","",ROUND(SUMIF(الطلاب!$Q:$Q,$B4,الطلاب!$AH:$AH),3))</calculatedColumnFormula>
    </tableColumn>
    <tableColumn id="13" xr3:uid="{00000000-0010-0000-0100-00000D000000}" name="خصم المواصلات" dataDxfId="60"/>
    <tableColumn id="14" xr3:uid="{00000000-0010-0000-0100-00000E000000}" name="صافي المستحق" dataDxfId="59">
      <calculatedColumnFormula>IF($B4="","",ROUND($L4-IF($M4="",0,$M4),3))</calculatedColumnFormula>
    </tableColumn>
    <tableColumn id="15" xr3:uid="{00000000-0010-0000-0100-00000F000000}" name="المدفوع له" dataDxfId="58">
      <calculatedColumnFormula>IF($B4="","",ROUND(SUMIFS('الحركات المالية'!$F:$F,'الحركات المالية'!$C:$C,"دفعة معلم",'الحركات المالية'!$D:$D,$B4),3))</calculatedColumnFormula>
    </tableColumn>
    <tableColumn id="16" xr3:uid="{00000000-0010-0000-0100-000010000000}" name="المتبقي له" dataDxfId="57">
      <calculatedColumnFormula>IF($B4="","",ROUND($N4-$O4,3))</calculatedColumnFormula>
    </tableColumn>
    <tableColumn id="17" xr3:uid="{00000000-0010-0000-0100-000011000000}" name="ملاحظات" dataDxfId="56"/>
  </tableColumns>
  <tableStyleInfo name="TableStyleMedium4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ey" displayName="TblMoney" ref="A3:K11" headerRowDxfId="86" dataDxfId="85" totalsRowDxfId="84">
  <tableColumns count="11">
    <tableColumn id="1" xr3:uid="{00000000-0010-0000-0200-000001000000}" name="رقم الحركة" dataDxfId="83">
      <calculatedColumnFormula>IF($C4="","","MOV-"&amp;TEXT(ROW()-3,"0000"))</calculatedColumnFormula>
    </tableColumn>
    <tableColumn id="2" xr3:uid="{00000000-0010-0000-0200-000002000000}" name="التاريخ" dataDxfId="82"/>
    <tableColumn id="3" xr3:uid="{00000000-0010-0000-0200-000003000000}" name="النوع" dataDxfId="81"/>
    <tableColumn id="4" xr3:uid="{00000000-0010-0000-0200-000004000000}" name="الطالب / المعلم" dataDxfId="80"/>
    <tableColumn id="5" xr3:uid="{00000000-0010-0000-0200-000005000000}" name="البند (للمصروفات)" dataDxfId="79"/>
    <tableColumn id="6" xr3:uid="{00000000-0010-0000-0200-000006000000}" name="المبلغ" dataDxfId="78"/>
    <tableColumn id="7" xr3:uid="{00000000-0010-0000-0200-000007000000}" name="طريقة الدفع" dataDxfId="77"/>
    <tableColumn id="8" xr3:uid="{00000000-0010-0000-0200-000008000000}" name="المرجع" dataDxfId="76"/>
    <tableColumn id="9" xr3:uid="{00000000-0010-0000-0200-000009000000}" name="المتبقي (طالب/معلم)" dataDxfId="75">
      <calculatedColumnFormula>IF($C4="دفعة طالب",ROUND(SUMIF(الطلاب!$B:$B,$D4,الطلاب!$AA:$AA),3),IF($C4="دفعة معلم",IFERROR(INDEX(المعلمون!$P:$P,MATCH($D4,المعلمون!$B:$B,0)),"⚠"),""))</calculatedColumnFormula>
    </tableColumn>
    <tableColumn id="10" xr3:uid="{00000000-0010-0000-0200-00000A000000}" name="تحقق" dataDxfId="74">
      <calculatedColumnFormula>IF($C4="","",IF(AND(OR($C4="دفعة طالب",$C4="دفعة معلم"),$D4=""),"⚠ حدد الاسم",IF(AND($C4="مصروف",$E4=""),"⚠ حدد البند",IF($F4&lt;=0,"⚠ المبلغ صفر","سليم"))))</calculatedColumnFormula>
    </tableColumn>
    <tableColumn id="11" xr3:uid="{00000000-0010-0000-0200-00000B000000}" name="ملاحظات" dataDxfId="73"/>
  </tableColumns>
  <tableStyleInfo name="TableStyleMedium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A075BF3-3C91-4CBE-8F47-47849230721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c6d1dd3b-97c0-4123-9593-794fccae2cf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864"/>
  </sheetPr>
  <dimension ref="A1:M28"/>
  <sheetViews>
    <sheetView showGridLines="0" rightToLeft="1" workbookViewId="0">
      <selection activeCell="B15" sqref="B15"/>
    </sheetView>
  </sheetViews>
  <sheetFormatPr defaultRowHeight="13.8" x14ac:dyDescent="0.25"/>
  <cols>
    <col min="1" max="1" width="30" customWidth="1"/>
    <col min="2" max="2" width="16" customWidth="1"/>
    <col min="4" max="4" width="22" customWidth="1"/>
    <col min="5" max="5" width="24" customWidth="1"/>
    <col min="7" max="11" width="14" customWidth="1"/>
    <col min="13" max="13" width="13" hidden="1" customWidth="1"/>
  </cols>
  <sheetData>
    <row r="1" spans="1:13" ht="17.399999999999999" x14ac:dyDescent="0.3">
      <c r="A1" s="153" t="s">
        <v>0</v>
      </c>
      <c r="B1" s="154"/>
    </row>
    <row r="2" spans="1:13" ht="18" customHeight="1" x14ac:dyDescent="0.25">
      <c r="A2" s="1" t="str">
        <f>HYPERLINK("#'لوحة التحكم'!A1","🏠 لوحة التحكم")</f>
        <v>🏠 لوحة التحكم</v>
      </c>
      <c r="B2" s="1" t="str">
        <f>HYPERLINK("#'الطلاب'!A1","👥 الطلاب")</f>
        <v>👥 الطلاب</v>
      </c>
      <c r="C2" s="1" t="str">
        <f>HYPERLINK("#'المعلمون'!A1","👨‍🏫 المعلمون")</f>
        <v>👨‍🏫 المعلمون</v>
      </c>
      <c r="D2" s="1" t="str">
        <f>HYPERLINK("#'الحركات المالية'!A1","💰 الحركات المالية")</f>
        <v>💰 الحركات المالية</v>
      </c>
      <c r="E2" s="1" t="str">
        <f>HYPERLINK("#'الإعدادات'!A1","⚙️ الإعدادات")</f>
        <v>⚙️ الإعدادات</v>
      </c>
    </row>
    <row r="4" spans="1:13" x14ac:dyDescent="0.25">
      <c r="A4" s="155" t="s">
        <v>1</v>
      </c>
      <c r="B4" s="154"/>
      <c r="D4" s="155" t="s">
        <v>2</v>
      </c>
      <c r="E4" s="154"/>
      <c r="G4" s="155" t="s">
        <v>3</v>
      </c>
      <c r="H4" s="154"/>
      <c r="I4" s="154"/>
      <c r="J4" s="154"/>
    </row>
    <row r="5" spans="1:13" x14ac:dyDescent="0.25">
      <c r="A5" s="2" t="s">
        <v>4</v>
      </c>
      <c r="B5" s="3">
        <f>COUNTIF(الطلاب!$B$4:$B$5000,"?*")</f>
        <v>8</v>
      </c>
      <c r="D5" s="2" t="s">
        <v>5</v>
      </c>
      <c r="E5" s="4"/>
      <c r="G5" s="5" t="s">
        <v>6</v>
      </c>
      <c r="H5" s="5" t="s">
        <v>7</v>
      </c>
      <c r="I5" s="5" t="s">
        <v>8</v>
      </c>
      <c r="J5" s="5" t="s">
        <v>9</v>
      </c>
      <c r="K5" s="5" t="s">
        <v>10</v>
      </c>
    </row>
    <row r="6" spans="1:13" x14ac:dyDescent="0.25">
      <c r="A6" s="2" t="s">
        <v>11</v>
      </c>
      <c r="B6" s="3">
        <f>SUMPRODUCT((الطلاب!$B$4:$B$2000&lt;&gt;"")/COUNTIF(الطلاب!$B$4:$B$2000,الطلاب!$B$4:$B$2000&amp;""))</f>
        <v>7</v>
      </c>
      <c r="D6" s="2" t="s">
        <v>12</v>
      </c>
      <c r="E6" s="6" t="str">
        <f>IF($E$5="","",IF(IFERROR(MATCH($E$5,الطلاب!$B:$B,0),IFERROR(MATCH($E$5,الطلاب!$C:$C,0),IFERROR(MATCH($E$5,الطلاب!$D:$D,0),0)))=0,"لا يوجد",INDEX(الطلاب!$E:$E,IFERROR(MATCH($E$5,الطلاب!$B:$B,0),IFERROR(MATCH($E$5,الطلاب!$C:$C,0),IFERROR(MATCH($E$5,الطلاب!$D:$D,0),0))))))</f>
        <v/>
      </c>
      <c r="G6" s="7" t="s">
        <v>13</v>
      </c>
      <c r="H6" s="8">
        <f>ROUND(SUMIFS('الحركات المالية'!$F:$F,'الحركات المالية'!$C:$C,"دفعة طالب",'الحركات المالية'!$B:$B,"&gt;="&amp;$M6,'الحركات المالية'!$B:$B,"&lt;="&amp;EOMONTH($M6,0)),3)</f>
        <v>0</v>
      </c>
      <c r="I6" s="8">
        <f>ROUND(SUMIFS('الحركات المالية'!$F:$F,'الحركات المالية'!$C:$C,"دفعة معلم",'الحركات المالية'!$B:$B,"&gt;="&amp;$M6,'الحركات المالية'!$B:$B,"&lt;="&amp;EOMONTH($M6,0)),3)</f>
        <v>0</v>
      </c>
      <c r="J6" s="8">
        <f>ROUND(SUMIFS('الحركات المالية'!$F:$F,'الحركات المالية'!$C:$C,"مصروف",'الحركات المالية'!$B:$B,"&gt;="&amp;$M6,'الحركات المالية'!$B:$B,"&lt;="&amp;EOMONTH($M6,0)),3)</f>
        <v>0</v>
      </c>
      <c r="K6" s="8">
        <f t="shared" ref="K6:K17" si="0">ROUND($H6-$I6-$J6,3)</f>
        <v>0</v>
      </c>
      <c r="M6" s="9">
        <f>DATE(الإعدادات!$B$6,1,1)</f>
        <v>46023</v>
      </c>
    </row>
    <row r="7" spans="1:13" x14ac:dyDescent="0.25">
      <c r="A7" s="2" t="s">
        <v>14</v>
      </c>
      <c r="B7" s="3">
        <f>COUNTIF(المعلمون!$G:$G,"نشط")</f>
        <v>53</v>
      </c>
      <c r="D7" s="2" t="s">
        <v>15</v>
      </c>
      <c r="E7" s="6" t="str">
        <f>IF($E$5="","",IF(IFERROR(MATCH($E$5,الطلاب!$B:$B,0),IFERROR(MATCH($E$5,الطلاب!$C:$C,0),IFERROR(MATCH($E$5,الطلاب!$D:$D,0),0)))=0,"لا يوجد",INDEX(الطلاب!$H:$H,IFERROR(MATCH($E$5,الطلاب!$B:$B,0),IFERROR(MATCH($E$5,الطلاب!$C:$C,0),IFERROR(MATCH($E$5,الطلاب!$D:$D,0),0))))))</f>
        <v/>
      </c>
      <c r="G7" s="7" t="s">
        <v>16</v>
      </c>
      <c r="H7" s="8">
        <f>ROUND(SUMIFS('الحركات المالية'!$F:$F,'الحركات المالية'!$C:$C,"دفعة طالب",'الحركات المالية'!$B:$B,"&gt;="&amp;$M7,'الحركات المالية'!$B:$B,"&lt;="&amp;EOMONTH($M7,0)),3)</f>
        <v>156</v>
      </c>
      <c r="I7" s="8">
        <f>ROUND(SUMIFS('الحركات المالية'!$F:$F,'الحركات المالية'!$C:$C,"دفعة معلم",'الحركات المالية'!$B:$B,"&gt;="&amp;$M7,'الحركات المالية'!$B:$B,"&lt;="&amp;EOMONTH($M7,0)),3)</f>
        <v>0</v>
      </c>
      <c r="J7" s="8">
        <f>ROUND(SUMIFS('الحركات المالية'!$F:$F,'الحركات المالية'!$C:$C,"مصروف",'الحركات المالية'!$B:$B,"&gt;="&amp;$M7,'الحركات المالية'!$B:$B,"&lt;="&amp;EOMONTH($M7,0)),3)</f>
        <v>13</v>
      </c>
      <c r="K7" s="8">
        <f t="shared" si="0"/>
        <v>143</v>
      </c>
      <c r="M7" s="9">
        <f>DATE(الإعدادات!$B$6,2,1)</f>
        <v>46054</v>
      </c>
    </row>
    <row r="8" spans="1:13" x14ac:dyDescent="0.25">
      <c r="A8" s="2" t="s">
        <v>17</v>
      </c>
      <c r="B8" s="10">
        <f>ROUND(SUM(الطلاب!$Y:$Y),1)</f>
        <v>17.5</v>
      </c>
      <c r="D8" s="2" t="s">
        <v>18</v>
      </c>
      <c r="E8" s="6" t="str">
        <f>IF($E$5="","",IF(IFERROR(MATCH($E$5,الطلاب!$B:$B,0),IFERROR(MATCH($E$5,الطلاب!$C:$C,0),IFERROR(MATCH($E$5,الطلاب!$D:$D,0),0)))=0,"لا يوجد",INDEX(الطلاب!$I:$I,IFERROR(MATCH($E$5,الطلاب!$B:$B,0),IFERROR(MATCH($E$5,الطلاب!$C:$C,0),IFERROR(MATCH($E$5,الطلاب!$D:$D,0),0))))))</f>
        <v/>
      </c>
      <c r="G8" s="7" t="s">
        <v>19</v>
      </c>
      <c r="H8" s="8">
        <f>ROUND(SUMIFS('الحركات المالية'!$F:$F,'الحركات المالية'!$C:$C,"دفعة طالب",'الحركات المالية'!$B:$B,"&gt;="&amp;$M8,'الحركات المالية'!$B:$B,"&lt;="&amp;EOMONTH($M8,0)),3)</f>
        <v>0</v>
      </c>
      <c r="I8" s="8">
        <f>ROUND(SUMIFS('الحركات المالية'!$F:$F,'الحركات المالية'!$C:$C,"دفعة معلم",'الحركات المالية'!$B:$B,"&gt;="&amp;$M8,'الحركات المالية'!$B:$B,"&lt;="&amp;EOMONTH($M8,0)),3)</f>
        <v>20</v>
      </c>
      <c r="J8" s="8">
        <f>ROUND(SUMIFS('الحركات المالية'!$F:$F,'الحركات المالية'!$C:$C,"مصروف",'الحركات المالية'!$B:$B,"&gt;="&amp;$M8,'الحركات المالية'!$B:$B,"&lt;="&amp;EOMONTH($M8,0)),3)</f>
        <v>4</v>
      </c>
      <c r="K8" s="8">
        <f t="shared" si="0"/>
        <v>-24</v>
      </c>
      <c r="M8" s="9">
        <f>DATE(الإعدادات!$B$6,3,1)</f>
        <v>46082</v>
      </c>
    </row>
    <row r="9" spans="1:13" x14ac:dyDescent="0.25">
      <c r="A9" s="2" t="s">
        <v>20</v>
      </c>
      <c r="B9" s="10">
        <f>ROUND(SUM(الطلاب!$M:$M)-SUM(الطلاب!$Y:$Y),1)</f>
        <v>89.5</v>
      </c>
      <c r="D9" s="2" t="s">
        <v>21</v>
      </c>
      <c r="E9" s="6" t="str">
        <f>IF($E$5="","",IF(IFERROR(MATCH($E$5,الطلاب!$B:$B,0),IFERROR(MATCH($E$5,الطلاب!$C:$C,0),IFERROR(MATCH($E$5,الطلاب!$D:$D,0),0)))=0,"لا يوجد",INDEX(الطلاب!$J:$J,IFERROR(MATCH($E$5,الطلاب!$B:$B,0),IFERROR(MATCH($E$5,الطلاب!$C:$C,0),IFERROR(MATCH($E$5,الطلاب!$D:$D,0),0))))))</f>
        <v/>
      </c>
      <c r="G9" s="7" t="s">
        <v>22</v>
      </c>
      <c r="H9" s="8">
        <f>ROUND(SUMIFS('الحركات المالية'!$F:$F,'الحركات المالية'!$C:$C,"دفعة طالب",'الحركات المالية'!$B:$B,"&gt;="&amp;$M9,'الحركات المالية'!$B:$B,"&lt;="&amp;EOMONTH($M9,0)),3)</f>
        <v>0</v>
      </c>
      <c r="I9" s="8">
        <f>ROUND(SUMIFS('الحركات المالية'!$F:$F,'الحركات المالية'!$C:$C,"دفعة معلم",'الحركات المالية'!$B:$B,"&gt;="&amp;$M9,'الحركات المالية'!$B:$B,"&lt;="&amp;EOMONTH($M9,0)),3)</f>
        <v>0</v>
      </c>
      <c r="J9" s="8">
        <f>ROUND(SUMIFS('الحركات المالية'!$F:$F,'الحركات المالية'!$C:$C,"مصروف",'الحركات المالية'!$B:$B,"&gt;="&amp;$M9,'الحركات المالية'!$B:$B,"&lt;="&amp;EOMONTH($M9,0)),3)</f>
        <v>0</v>
      </c>
      <c r="K9" s="8">
        <f t="shared" si="0"/>
        <v>0</v>
      </c>
      <c r="M9" s="9">
        <f>DATE(الإعدادات!$B$6,4,1)</f>
        <v>46113</v>
      </c>
    </row>
    <row r="10" spans="1:13" x14ac:dyDescent="0.25">
      <c r="A10" s="155" t="s">
        <v>23</v>
      </c>
      <c r="B10" s="154"/>
      <c r="D10" s="2" t="s">
        <v>24</v>
      </c>
      <c r="E10" s="6" t="str">
        <f>IF($E$5="","",IF(IFERROR(MATCH($E$5,الطلاب!$B:$B,0),IFERROR(MATCH($E$5,الطلاب!$C:$C,0),IFERROR(MATCH($E$5,الطلاب!$D:$D,0),0)))=0,"لا يوجد",INDEX(الطلاب!$P:$P,IFERROR(MATCH($E$5,الطلاب!$B:$B,0),IFERROR(MATCH($E$5,الطلاب!$C:$C,0),IFERROR(MATCH($E$5,الطلاب!$D:$D,0),0))))))</f>
        <v/>
      </c>
      <c r="G10" s="7" t="s">
        <v>25</v>
      </c>
      <c r="H10" s="8">
        <f>ROUND(SUMIFS('الحركات المالية'!$F:$F,'الحركات المالية'!$C:$C,"دفعة طالب",'الحركات المالية'!$B:$B,"&gt;="&amp;$M10,'الحركات المالية'!$B:$B,"&lt;="&amp;EOMONTH($M10,0)),3)</f>
        <v>0</v>
      </c>
      <c r="I10" s="8">
        <f>ROUND(SUMIFS('الحركات المالية'!$F:$F,'الحركات المالية'!$C:$C,"دفعة معلم",'الحركات المالية'!$B:$B,"&gt;="&amp;$M10,'الحركات المالية'!$B:$B,"&lt;="&amp;EOMONTH($M10,0)),3)</f>
        <v>0</v>
      </c>
      <c r="J10" s="8">
        <f>ROUND(SUMIFS('الحركات المالية'!$F:$F,'الحركات المالية'!$C:$C,"مصروف",'الحركات المالية'!$B:$B,"&gt;="&amp;$M10,'الحركات المالية'!$B:$B,"&lt;="&amp;EOMONTH($M10,0)),3)</f>
        <v>0</v>
      </c>
      <c r="K10" s="8">
        <f t="shared" si="0"/>
        <v>0</v>
      </c>
      <c r="M10" s="9">
        <f>DATE(الإعدادات!$B$6,5,1)</f>
        <v>46143</v>
      </c>
    </row>
    <row r="11" spans="1:13" s="78" customFormat="1" x14ac:dyDescent="0.25">
      <c r="A11" s="76" t="s">
        <v>26</v>
      </c>
      <c r="B11" s="77">
        <f>ROUND(SUM(TblStudents[_مستحق الصف بعد الخصم]),3)</f>
        <v>352</v>
      </c>
      <c r="D11" s="76" t="s">
        <v>27</v>
      </c>
      <c r="E11" s="79" t="str">
        <f>IF($E$5="","",IF(IFERROR(MATCH($E$5,الطلاب!$B:$B,0),IFERROR(MATCH($E$5,الطلاب!$C:$C,0),IFERROR(MATCH($E$5,الطلاب!$D:$D,0),0)))=0,"لا يوجد",INDEX(الطلاب!$Q:$Q,IFERROR(MATCH($E$5,الطلاب!$B:$B,0),IFERROR(MATCH($E$5,الطلاب!$C:$C,0),IFERROR(MATCH($E$5,الطلاب!$D:$D,0),0))))))</f>
        <v/>
      </c>
      <c r="G11" s="80" t="s">
        <v>28</v>
      </c>
      <c r="H11" s="81">
        <f>ROUND(SUMIFS('الحركات المالية'!$F:$F,'الحركات المالية'!$C:$C,"دفعة طالب",'الحركات المالية'!$B:$B,"&gt;="&amp;$M11,'الحركات المالية'!$B:$B,"&lt;="&amp;EOMONTH($M11,0)),3)</f>
        <v>0</v>
      </c>
      <c r="I11" s="81">
        <f>ROUND(SUMIFS('الحركات المالية'!$F:$F,'الحركات المالية'!$C:$C,"دفعة معلم",'الحركات المالية'!$B:$B,"&gt;="&amp;$M11,'الحركات المالية'!$B:$B,"&lt;="&amp;EOMONTH($M11,0)),3)</f>
        <v>0</v>
      </c>
      <c r="J11" s="81">
        <f>ROUND(SUMIFS('الحركات المالية'!$F:$F,'الحركات المالية'!$C:$C,"مصروف",'الحركات المالية'!$B:$B,"&gt;="&amp;$M11,'الحركات المالية'!$B:$B,"&lt;="&amp;EOMONTH($M11,0)),3)</f>
        <v>0</v>
      </c>
      <c r="K11" s="81">
        <f t="shared" si="0"/>
        <v>0</v>
      </c>
      <c r="M11" s="82">
        <f>DATE(الإعدادات!$B$6,6,1)</f>
        <v>46174</v>
      </c>
    </row>
    <row r="12" spans="1:13" x14ac:dyDescent="0.25">
      <c r="A12" s="2" t="s">
        <v>29</v>
      </c>
      <c r="B12" s="11">
        <f>ROUND(SUM(الطلاب!$O:$O),3)</f>
        <v>218</v>
      </c>
      <c r="D12" s="2" t="s">
        <v>20</v>
      </c>
      <c r="E12" s="12" t="str">
        <f>IF($E$5="","",IF(IFERROR(MATCH($E$5,الطلاب!$B:$B,0),IFERROR(MATCH($E$5,الطلاب!$C:$C,0),IFERROR(MATCH($E$5,الطلاب!$D:$D,0),0)))=0,"لا يوجد",INDEX(الطلاب!$Z:$Z,IFERROR(MATCH($E$5,الطلاب!$B:$B,0),IFERROR(MATCH($E$5,الطلاب!$C:$C,0),IFERROR(MATCH($E$5,الطلاب!$D:$D,0),0))))))</f>
        <v/>
      </c>
      <c r="G12" s="7" t="s">
        <v>30</v>
      </c>
      <c r="H12" s="8">
        <f>ROUND(SUMIFS('الحركات المالية'!$F:$F,'الحركات المالية'!$C:$C,"دفعة طالب",'الحركات المالية'!$B:$B,"&gt;="&amp;$M12,'الحركات المالية'!$B:$B,"&lt;="&amp;EOMONTH($M12,0)),3)</f>
        <v>0</v>
      </c>
      <c r="I12" s="8">
        <f>ROUND(SUMIFS('الحركات المالية'!$F:$F,'الحركات المالية'!$C:$C,"دفعة معلم",'الحركات المالية'!$B:$B,"&gt;="&amp;$M12,'الحركات المالية'!$B:$B,"&lt;="&amp;EOMONTH($M12,0)),3)</f>
        <v>0</v>
      </c>
      <c r="J12" s="8">
        <f>ROUND(SUMIFS('الحركات المالية'!$F:$F,'الحركات المالية'!$C:$C,"مصروف",'الحركات المالية'!$B:$B,"&gt;="&amp;$M12,'الحركات المالية'!$B:$B,"&lt;="&amp;EOMONTH($M12,0)),3)</f>
        <v>0</v>
      </c>
      <c r="K12" s="8">
        <f t="shared" si="0"/>
        <v>0</v>
      </c>
      <c r="M12" s="9">
        <f>DATE(الإعدادات!$B$6,7,1)</f>
        <v>46204</v>
      </c>
    </row>
    <row r="13" spans="1:13" x14ac:dyDescent="0.25">
      <c r="A13" s="2" t="s">
        <v>31</v>
      </c>
      <c r="B13" s="11">
        <f>ROUND(SUMPRODUCT((الطلاب!$AI$4:$AI$3000=TRUE)*(الطلاب!$AE$4:$AE$3000&gt;0),الطلاب!$AE$4:$AE$3000),3)</f>
        <v>0</v>
      </c>
      <c r="D13" s="2" t="s">
        <v>32</v>
      </c>
      <c r="E13" s="13" t="str">
        <f>IF($E$5="","",IF(IFERROR(MATCH($E$5,الطلاب!$B:$B,0),IFERROR(MATCH($E$5,الطلاب!$C:$C,0),IFERROR(MATCH($E$5,الطلاب!$D:$D,0),0)))=0,"لا يوجد",INDEX(الطلاب!$AA:$AA,IFERROR(MATCH($E$5,الطلاب!$B:$B,0),IFERROR(MATCH($E$5,الطلاب!$C:$C,0),IFERROR(MATCH($E$5,الطلاب!$D:$D,0),0))))))</f>
        <v/>
      </c>
      <c r="G13" s="7" t="s">
        <v>33</v>
      </c>
      <c r="H13" s="8">
        <f>ROUND(SUMIFS('الحركات المالية'!$F:$F,'الحركات المالية'!$C:$C,"دفعة طالب",'الحركات المالية'!$B:$B,"&gt;="&amp;$M13,'الحركات المالية'!$B:$B,"&lt;="&amp;EOMONTH($M13,0)),3)</f>
        <v>0</v>
      </c>
      <c r="I13" s="8">
        <f>ROUND(SUMIFS('الحركات المالية'!$F:$F,'الحركات المالية'!$C:$C,"دفعة معلم",'الحركات المالية'!$B:$B,"&gt;="&amp;$M13,'الحركات المالية'!$B:$B,"&lt;="&amp;EOMONTH($M13,0)),3)</f>
        <v>0</v>
      </c>
      <c r="J13" s="8">
        <f>ROUND(SUMIFS('الحركات المالية'!$F:$F,'الحركات المالية'!$C:$C,"مصروف",'الحركات المالية'!$B:$B,"&gt;="&amp;$M13,'الحركات المالية'!$B:$B,"&lt;="&amp;EOMONTH($M13,0)),3)</f>
        <v>0</v>
      </c>
      <c r="K13" s="8">
        <f t="shared" si="0"/>
        <v>0</v>
      </c>
      <c r="M13" s="9">
        <f>DATE(الإعدادات!$B$6,8,1)</f>
        <v>46235</v>
      </c>
    </row>
    <row r="14" spans="1:13" s="85" customFormat="1" x14ac:dyDescent="0.25">
      <c r="A14" s="83" t="s">
        <v>34</v>
      </c>
      <c r="B14" s="84">
        <f>ROUND(SUM(المعلمون!$N:$N),3)</f>
        <v>0</v>
      </c>
      <c r="D14" s="83" t="s">
        <v>35</v>
      </c>
      <c r="E14" s="86" t="str">
        <f>IF($E$5="","",IF(IFERROR(MATCH($E$5,الطلاب!$B:$B,0),IFERROR(MATCH($E$5,الطلاب!$C:$C,0),IFERROR(MATCH($E$5,الطلاب!$D:$D,0),0)))=0,"لا يوجد",INDEX(الطلاب!$AB:$AB,IFERROR(MATCH($E$5,الطلاب!$B:$B,0),IFERROR(MATCH($E$5,الطلاب!$C:$C,0),IFERROR(MATCH($E$5,الطلاب!$D:$D,0),0))))))</f>
        <v/>
      </c>
      <c r="G14" s="86" t="s">
        <v>36</v>
      </c>
      <c r="H14" s="87">
        <f>ROUND(SUMIFS('الحركات المالية'!$F:$F,'الحركات المالية'!$C:$C,"دفعة طالب",'الحركات المالية'!$B:$B,"&gt;="&amp;$M14,'الحركات المالية'!$B:$B,"&lt;="&amp;EOMONTH($M14,0)),3)</f>
        <v>0</v>
      </c>
      <c r="I14" s="87">
        <f>ROUND(SUMIFS('الحركات المالية'!$F:$F,'الحركات المالية'!$C:$C,"دفعة معلم",'الحركات المالية'!$B:$B,"&gt;="&amp;$M14,'الحركات المالية'!$B:$B,"&lt;="&amp;EOMONTH($M14,0)),3)</f>
        <v>0</v>
      </c>
      <c r="J14" s="87">
        <f>ROUND(SUMIFS('الحركات المالية'!$F:$F,'الحركات المالية'!$C:$C,"مصروف",'الحركات المالية'!$B:$B,"&gt;="&amp;$M14,'الحركات المالية'!$B:$B,"&lt;="&amp;EOMONTH($M14,0)),3)</f>
        <v>0</v>
      </c>
      <c r="K14" s="87">
        <f t="shared" si="0"/>
        <v>0</v>
      </c>
      <c r="M14" s="88">
        <f>DATE(الإعدادات!$B$6,9,1)</f>
        <v>46266</v>
      </c>
    </row>
    <row r="15" spans="1:13" x14ac:dyDescent="0.25">
      <c r="A15" s="2" t="s">
        <v>37</v>
      </c>
      <c r="B15" s="11">
        <f>ROUND(SUM(المعلمون!$O:$O),3)</f>
        <v>0</v>
      </c>
      <c r="G15" s="7" t="s">
        <v>38</v>
      </c>
      <c r="H15" s="8">
        <f>ROUND(SUMIFS('الحركات المالية'!$F:$F,'الحركات المالية'!$C:$C,"دفعة طالب",'الحركات المالية'!$B:$B,"&gt;="&amp;$M15,'الحركات المالية'!$B:$B,"&lt;="&amp;EOMONTH($M15,0)),3)</f>
        <v>0</v>
      </c>
      <c r="I15" s="8">
        <f>ROUND(SUMIFS('الحركات المالية'!$F:$F,'الحركات المالية'!$C:$C,"دفعة معلم",'الحركات المالية'!$B:$B,"&gt;="&amp;$M15,'الحركات المالية'!$B:$B,"&lt;="&amp;EOMONTH($M15,0)),3)</f>
        <v>0</v>
      </c>
      <c r="J15" s="8">
        <f>ROUND(SUMIFS('الحركات المالية'!$F:$F,'الحركات المالية'!$C:$C,"مصروف",'الحركات المالية'!$B:$B,"&gt;="&amp;$M15,'الحركات المالية'!$B:$B,"&lt;="&amp;EOMONTH($M15,0)),3)</f>
        <v>0</v>
      </c>
      <c r="K15" s="8">
        <f t="shared" si="0"/>
        <v>0</v>
      </c>
      <c r="M15" s="9">
        <f>DATE(الإعدادات!$B$6,10,1)</f>
        <v>46296</v>
      </c>
    </row>
    <row r="16" spans="1:13" x14ac:dyDescent="0.25">
      <c r="A16" s="2" t="s">
        <v>39</v>
      </c>
      <c r="B16" s="11">
        <f>ROUND(SUM(المعلمون!$P:$P),3)</f>
        <v>0</v>
      </c>
      <c r="G16" s="7" t="s">
        <v>40</v>
      </c>
      <c r="H16" s="8">
        <f>ROUND(SUMIFS('الحركات المالية'!$F:$F,'الحركات المالية'!$C:$C,"دفعة طالب",'الحركات المالية'!$B:$B,"&gt;="&amp;$M16,'الحركات المالية'!$B:$B,"&lt;="&amp;EOMONTH($M16,0)),3)</f>
        <v>0</v>
      </c>
      <c r="I16" s="8">
        <f>ROUND(SUMIFS('الحركات المالية'!$F:$F,'الحركات المالية'!$C:$C,"دفعة معلم",'الحركات المالية'!$B:$B,"&gt;="&amp;$M16,'الحركات المالية'!$B:$B,"&lt;="&amp;EOMONTH($M16,0)),3)</f>
        <v>0</v>
      </c>
      <c r="J16" s="8">
        <f>ROUND(SUMIFS('الحركات المالية'!$F:$F,'الحركات المالية'!$C:$C,"مصروف",'الحركات المالية'!$B:$B,"&gt;="&amp;$M16,'الحركات المالية'!$B:$B,"&lt;="&amp;EOMONTH($M16,0)),3)</f>
        <v>0</v>
      </c>
      <c r="K16" s="8">
        <f t="shared" si="0"/>
        <v>0</v>
      </c>
      <c r="M16" s="9">
        <f>DATE(الإعدادات!$B$6,11,1)</f>
        <v>46327</v>
      </c>
    </row>
    <row r="17" spans="1:13" x14ac:dyDescent="0.25">
      <c r="A17" s="2" t="s">
        <v>9</v>
      </c>
      <c r="B17" s="11">
        <f>ROUND(SUMIF('الحركات المالية'!$C:$C,"مصروف",'الحركات المالية'!$F:$F),3)</f>
        <v>17</v>
      </c>
      <c r="D17" s="155" t="s">
        <v>41</v>
      </c>
      <c r="E17" s="154"/>
      <c r="G17" s="7" t="s">
        <v>42</v>
      </c>
      <c r="H17" s="8">
        <f>ROUND(SUMIFS('الحركات المالية'!$F:$F,'الحركات المالية'!$C:$C,"دفعة طالب",'الحركات المالية'!$B:$B,"&gt;="&amp;$M17,'الحركات المالية'!$B:$B,"&lt;="&amp;EOMONTH($M17,0)),3)</f>
        <v>0</v>
      </c>
      <c r="I17" s="8">
        <f>ROUND(SUMIFS('الحركات المالية'!$F:$F,'الحركات المالية'!$C:$C,"دفعة معلم",'الحركات المالية'!$B:$B,"&gt;="&amp;$M17,'الحركات المالية'!$B:$B,"&lt;="&amp;EOMONTH($M17,0)),3)</f>
        <v>0</v>
      </c>
      <c r="J17" s="8">
        <f>ROUND(SUMIFS('الحركات المالية'!$F:$F,'الحركات المالية'!$C:$C,"مصروف",'الحركات المالية'!$B:$B,"&gt;="&amp;$M17,'الحركات المالية'!$B:$B,"&lt;="&amp;EOMONTH($M17,0)),3)</f>
        <v>0</v>
      </c>
      <c r="K17" s="8">
        <f t="shared" si="0"/>
        <v>0</v>
      </c>
      <c r="M17" s="9">
        <f>DATE(الإعدادات!$B$6,12,1)</f>
        <v>46357</v>
      </c>
    </row>
    <row r="18" spans="1:13" s="91" customFormat="1" x14ac:dyDescent="0.25">
      <c r="A18" s="89" t="s">
        <v>43</v>
      </c>
      <c r="B18" s="90">
        <f>ROUND(B11-B14-B17,3)</f>
        <v>335</v>
      </c>
      <c r="D18" s="89" t="s">
        <v>15</v>
      </c>
      <c r="E18" s="92"/>
    </row>
    <row r="19" spans="1:13" x14ac:dyDescent="0.25">
      <c r="A19" s="155" t="s">
        <v>44</v>
      </c>
      <c r="B19" s="154"/>
      <c r="D19" s="2" t="s">
        <v>18</v>
      </c>
      <c r="E19" s="4"/>
    </row>
    <row r="20" spans="1:13" x14ac:dyDescent="0.25">
      <c r="A20" s="2" t="s">
        <v>45</v>
      </c>
      <c r="B20" s="3">
        <f>COUNTIFS(الطلاب!$AI:$AI,TRUE,الطلاب!$AF:$AF,"❌ لم يدفع")</f>
        <v>0</v>
      </c>
      <c r="D20" s="2" t="s">
        <v>12</v>
      </c>
      <c r="E20" s="4"/>
    </row>
    <row r="21" spans="1:13" x14ac:dyDescent="0.25">
      <c r="A21" s="2" t="s">
        <v>46</v>
      </c>
      <c r="B21" s="3">
        <f>COUNTIFS(الطلاب!$AI:$AI,TRUE,الطلاب!$AF:$AF,"🟠 دفع جزئي")</f>
        <v>0</v>
      </c>
      <c r="D21" s="2" t="s">
        <v>24</v>
      </c>
      <c r="E21" s="4"/>
    </row>
    <row r="22" spans="1:13" x14ac:dyDescent="0.25">
      <c r="A22" s="2" t="s">
        <v>47</v>
      </c>
      <c r="B22" s="3">
        <f>COUNTIFS(الطلاب!$AI:$AI,TRUE,الطلاب!$AG:$AG,"⚠ رصيد شارف على النفاد")</f>
        <v>0</v>
      </c>
      <c r="D22" s="2" t="s">
        <v>27</v>
      </c>
      <c r="E22" s="4"/>
    </row>
    <row r="23" spans="1:13" x14ac:dyDescent="0.25">
      <c r="A23" s="2" t="s">
        <v>48</v>
      </c>
      <c r="B23" s="3">
        <f>COUNTIFS(الطلاب!$AI:$AI,TRUE,الطلاب!$AG:$AG,"⚠ تجاوز الساعات")</f>
        <v>0</v>
      </c>
      <c r="D23" s="2" t="s">
        <v>4</v>
      </c>
      <c r="E23" s="15">
        <f>COUNTIFS(الطلاب!$H:$H,IF($E$18="","*",$E$18),الطلاب!$I:$I,IF($E$19="","*",$E$19),الطلاب!$E:$E,IF($E$20="","*",$E$20),الطلاب!$P:$P,IF($E$21="","*",$E$21),الطلاب!$Q:$Q,IF($E$22="","*",$E$22))</f>
        <v>9</v>
      </c>
    </row>
    <row r="24" spans="1:13" x14ac:dyDescent="0.25">
      <c r="D24" s="2" t="s">
        <v>17</v>
      </c>
      <c r="E24" s="12">
        <f>ROUND(SUMIFS(الطلاب!$Y:$Y,الطلاب!$H:$H,IF($E$18="","*",$E$18),الطلاب!$I:$I,IF($E$19="","*",$E$19),الطلاب!$E:$E,IF($E$20="","*",$E$20),الطلاب!$P:$P,IF($E$21="","*",$E$21),الطلاب!$Q:$Q,IF($E$22="","*",$E$22)),1)</f>
        <v>17.5</v>
      </c>
    </row>
    <row r="25" spans="1:13" x14ac:dyDescent="0.25">
      <c r="D25" s="2" t="s">
        <v>49</v>
      </c>
      <c r="E25" s="13">
        <f>ROUND(SUMIFS(TblStudents[_مستحق الصف بعد الخصم],TblStudents[المحافظة],IF($E$18="","*",$E$18),TblStudents[المنطقة],IF($E$19="","*",$E$19),TblStudents[المرحلة],IF($E$20="","*",$E$20),TblStudents[المادة],IF($E$21="","*",$E$21),TblStudents[المعلم],IF($E$22="","*",$E$22)),3)</f>
        <v>352</v>
      </c>
    </row>
    <row r="26" spans="1:13" x14ac:dyDescent="0.25">
      <c r="D26" s="2" t="s">
        <v>50</v>
      </c>
      <c r="E26" s="13">
        <f>ROUND(SUMIFS(الطلاب!$O:$O,الطلاب!$H:$H,IF($E$18="","*",$E$18),الطلاب!$I:$I,IF($E$19="","*",$E$19),الطلاب!$E:$E,IF($E$20="","*",$E$20),الطلاب!$P:$P,IF($E$21="","*",$E$21),الطلاب!$Q:$Q,IF($E$22="","*",$E$22)),3)</f>
        <v>218</v>
      </c>
    </row>
    <row r="27" spans="1:13" x14ac:dyDescent="0.25">
      <c r="D27" s="2" t="s">
        <v>51</v>
      </c>
      <c r="E27" s="13">
        <f>ROUND(E25-E26,3)</f>
        <v>134</v>
      </c>
    </row>
    <row r="28" spans="1:13" x14ac:dyDescent="0.25">
      <c r="D28" s="2" t="s">
        <v>52</v>
      </c>
      <c r="E28" s="13">
        <f>ROUND(SUMIFS(الطلاب!$AD:$AD,الطلاب!$H:$H,IF($E$18="","*",$E$18),الطلاب!$I:$I,IF($E$19="","*",$E$19),الطلاب!$E:$E,IF($E$20="","*",$E$20),الطلاب!$P:$P,IF($E$21="","*",$E$21),الطلاب!$Q:$Q,IF($E$22="","*",$E$22)),3)</f>
        <v>274</v>
      </c>
    </row>
  </sheetData>
  <mergeCells count="7">
    <mergeCell ref="A1:B1"/>
    <mergeCell ref="D17:E17"/>
    <mergeCell ref="A4:B4"/>
    <mergeCell ref="A19:B19"/>
    <mergeCell ref="G4:J4"/>
    <mergeCell ref="A10:B10"/>
    <mergeCell ref="D4:E4"/>
  </mergeCells>
  <dataValidations count="1">
    <dataValidation type="list" allowBlank="1" sqref="E22" xr:uid="{00000000-0002-0000-0000-000004000000}">
      <formula1>TCH_NAMES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000-000000000000}">
          <x14:formula1>
            <xm:f>الإعدادات!$J$11:$J$16</xm:f>
          </x14:formula1>
          <xm:sqref>E18</xm:sqref>
        </x14:dataValidation>
        <x14:dataValidation type="list" allowBlank="1" xr:uid="{00000000-0002-0000-0000-000001000000}">
          <x14:formula1>
            <xm:f>INDIRECT(INDEX(الإعدادات!$X$11:$X$16,MATCH($E$18,الإعدادات!$W$11:$W$16,0)))</xm:f>
          </x14:formula1>
          <xm:sqref>E19</xm:sqref>
        </x14:dataValidation>
        <x14:dataValidation type="list" allowBlank="1" xr:uid="{00000000-0002-0000-0000-000002000000}">
          <x14:formula1>
            <xm:f>الإعدادات!$A$11:$A$16</xm:f>
          </x14:formula1>
          <xm:sqref>E20</xm:sqref>
        </x14:dataValidation>
        <x14:dataValidation type="list" allowBlank="1" xr:uid="{00000000-0002-0000-0000-000003000000}">
          <x14:formula1>
            <xm:f>الإعدادات!$F$11:$F$31</xm:f>
          </x14:formula1>
          <xm:sqref>E21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5B6"/>
  </sheetPr>
  <dimension ref="A1:AM11"/>
  <sheetViews>
    <sheetView showGridLines="0" rightToLeft="1" tabSelected="1" workbookViewId="0">
      <pane xSplit="2" ySplit="3" topLeftCell="AD4" activePane="bottomRight" state="frozen"/>
      <selection pane="topRight"/>
      <selection pane="bottomLeft"/>
      <selection pane="bottomRight" activeCell="AH11" sqref="AH11"/>
    </sheetView>
  </sheetViews>
  <sheetFormatPr defaultRowHeight="13.8" x14ac:dyDescent="0.25"/>
  <cols>
    <col min="1" max="1" width="11" style="93" customWidth="1"/>
    <col min="2" max="2" width="22" style="93" customWidth="1"/>
    <col min="3" max="4" width="12" style="93" customWidth="1"/>
    <col min="5" max="5" width="16" style="93" customWidth="1"/>
    <col min="6" max="6" width="14" style="93" customWidth="1"/>
    <col min="7" max="7" width="13" style="93" customWidth="1"/>
    <col min="8" max="9" width="12" style="93" customWidth="1"/>
    <col min="10" max="10" width="20" style="93" customWidth="1"/>
    <col min="11" max="11" width="11" style="93" customWidth="1"/>
    <col min="12" max="12" width="12" style="93" customWidth="1"/>
    <col min="13" max="15" width="13" style="93" customWidth="1"/>
    <col min="16" max="16" width="14" style="93" customWidth="1"/>
    <col min="17" max="17" width="20" style="93" customWidth="1"/>
    <col min="18" max="18" width="11" style="93" customWidth="1"/>
    <col min="19" max="20" width="9" style="93" customWidth="1"/>
    <col min="21" max="21" width="11" style="93" customWidth="1"/>
    <col min="22" max="23" width="9" style="93" customWidth="1"/>
    <col min="24" max="24" width="11" style="93" customWidth="1"/>
    <col min="25" max="27" width="12" style="93" customWidth="1"/>
    <col min="28" max="29" width="13" style="93" customWidth="1"/>
    <col min="30" max="30" width="12" style="93" customWidth="1"/>
    <col min="31" max="32" width="13" style="93" customWidth="1"/>
    <col min="33" max="33" width="15" style="93" customWidth="1"/>
    <col min="34" max="34" width="13" style="93" customWidth="1"/>
    <col min="35" max="35" width="8" style="93" customWidth="1"/>
    <col min="36" max="36" width="18" style="93" customWidth="1"/>
    <col min="37" max="16384" width="8.796875" style="93"/>
  </cols>
  <sheetData>
    <row r="1" spans="1:39" ht="24" customHeight="1" x14ac:dyDescent="0.3">
      <c r="A1" s="156" t="s">
        <v>53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</row>
    <row r="2" spans="1:39" ht="18" customHeight="1" x14ac:dyDescent="0.25">
      <c r="A2" s="1" t="str">
        <f>HYPERLINK("#'لوحة التحكم'!A1","🏠 لوحة التحكم")</f>
        <v>🏠 لوحة التحكم</v>
      </c>
      <c r="B2" s="1" t="str">
        <f>HYPERLINK("#'الطلاب'!A1","👥 الطلاب")</f>
        <v>👥 الطلاب</v>
      </c>
      <c r="C2" s="1" t="str">
        <f>HYPERLINK("#'المعلمون'!A1","👨‍🏫 المعلمون")</f>
        <v>👨‍🏫 المعلمون</v>
      </c>
      <c r="D2" s="1" t="str">
        <f>HYPERLINK("#'الحركات المالية'!A1","💰 الحركات المالية")</f>
        <v>💰 الحركات المالية</v>
      </c>
      <c r="E2" s="1" t="str">
        <f>HYPERLINK("#'الإعدادات'!A1","⚙️ الإعدادات")</f>
        <v>⚙️ الإعدادات</v>
      </c>
    </row>
    <row r="3" spans="1:39" ht="31.95" customHeight="1" x14ac:dyDescent="0.25">
      <c r="A3" s="16" t="s">
        <v>54</v>
      </c>
      <c r="B3" s="16" t="s">
        <v>55</v>
      </c>
      <c r="C3" s="16" t="s">
        <v>56</v>
      </c>
      <c r="D3" s="16" t="s">
        <v>57</v>
      </c>
      <c r="E3" s="16" t="s">
        <v>12</v>
      </c>
      <c r="F3" s="16" t="s">
        <v>58</v>
      </c>
      <c r="G3" s="16" t="s">
        <v>59</v>
      </c>
      <c r="H3" s="16" t="s">
        <v>15</v>
      </c>
      <c r="I3" s="16" t="s">
        <v>18</v>
      </c>
      <c r="J3" s="16" t="s">
        <v>21</v>
      </c>
      <c r="K3" s="16" t="s">
        <v>60</v>
      </c>
      <c r="L3" s="16" t="s">
        <v>61</v>
      </c>
      <c r="M3" s="16" t="s">
        <v>62</v>
      </c>
      <c r="N3" s="16" t="s">
        <v>63</v>
      </c>
      <c r="O3" s="16" t="s">
        <v>64</v>
      </c>
      <c r="P3" s="16" t="s">
        <v>24</v>
      </c>
      <c r="Q3" s="16" t="s">
        <v>27</v>
      </c>
      <c r="R3" s="16" t="s">
        <v>536</v>
      </c>
      <c r="S3" s="16" t="s">
        <v>65</v>
      </c>
      <c r="T3" s="16" t="s">
        <v>66</v>
      </c>
      <c r="U3" s="16" t="s">
        <v>67</v>
      </c>
      <c r="V3" s="16" t="s">
        <v>68</v>
      </c>
      <c r="W3" s="16" t="s">
        <v>69</v>
      </c>
      <c r="X3" s="16" t="s">
        <v>70</v>
      </c>
      <c r="Y3" s="16" t="s">
        <v>71</v>
      </c>
      <c r="Z3" s="16" t="s">
        <v>17</v>
      </c>
      <c r="AA3" s="16" t="s">
        <v>72</v>
      </c>
      <c r="AB3" s="16" t="s">
        <v>73</v>
      </c>
      <c r="AC3" s="16" t="s">
        <v>74</v>
      </c>
      <c r="AD3" s="16" t="s">
        <v>75</v>
      </c>
      <c r="AE3" s="16" t="s">
        <v>20</v>
      </c>
      <c r="AF3" s="16" t="s">
        <v>32</v>
      </c>
      <c r="AG3" s="16" t="s">
        <v>35</v>
      </c>
      <c r="AH3" s="16" t="s">
        <v>76</v>
      </c>
      <c r="AI3" s="16" t="s">
        <v>77</v>
      </c>
      <c r="AJ3" s="16" t="s">
        <v>78</v>
      </c>
      <c r="AK3" s="16" t="s">
        <v>79</v>
      </c>
      <c r="AL3" s="188" t="s">
        <v>534</v>
      </c>
      <c r="AM3" s="188" t="s">
        <v>535</v>
      </c>
    </row>
    <row r="4" spans="1:39" x14ac:dyDescent="0.25">
      <c r="A4" s="35" t="str">
        <f t="shared" ref="A4:A11" si="0">IF($B4="","","STD-"&amp;TEXT(ROW()-3,"0000"))</f>
        <v>STD-0001</v>
      </c>
      <c r="B4" s="36" t="s">
        <v>80</v>
      </c>
      <c r="C4" s="36" t="s">
        <v>81</v>
      </c>
      <c r="D4" s="36" t="s">
        <v>82</v>
      </c>
      <c r="E4" s="36" t="s">
        <v>83</v>
      </c>
      <c r="F4" s="36" t="s">
        <v>84</v>
      </c>
      <c r="G4" s="36" t="s">
        <v>85</v>
      </c>
      <c r="H4" s="36" t="s">
        <v>86</v>
      </c>
      <c r="I4" s="36" t="s">
        <v>87</v>
      </c>
      <c r="J4" s="36" t="s">
        <v>88</v>
      </c>
      <c r="K4" s="36" t="s">
        <v>89</v>
      </c>
      <c r="L4" s="37">
        <v>46027</v>
      </c>
      <c r="M4" s="38">
        <v>32</v>
      </c>
      <c r="N4" s="39">
        <v>86</v>
      </c>
      <c r="O4" s="39">
        <v>56</v>
      </c>
      <c r="P4" s="36" t="s">
        <v>90</v>
      </c>
      <c r="Q4" s="36" t="s">
        <v>91</v>
      </c>
      <c r="R4" s="203" t="str">
        <f>IF(TblStudents[[#This Row],[المعلم]]="","",IFERROR(INDEX(المعلمون!$C$4:$C$56,MATCH(TblStudents[[#This Row],[المعلم]],المعلمون!$B$4:$B$56,0)),""))</f>
        <v/>
      </c>
      <c r="S4" s="36" t="s">
        <v>92</v>
      </c>
      <c r="T4" s="40">
        <v>0.72916666666666663</v>
      </c>
      <c r="U4" s="40">
        <v>0.79166666666666663</v>
      </c>
      <c r="V4" s="36" t="s">
        <v>93</v>
      </c>
      <c r="W4" s="40">
        <v>0.54166666666666663</v>
      </c>
      <c r="X4" s="40">
        <v>0.58333333333333337</v>
      </c>
      <c r="Y4" s="41">
        <f t="shared" ref="Y4:Y11" si="1">IF($B4="","",ROUND(IF(OR($T4="",$U4=""),0,($U4-$T4)*24)+IF(OR($W4="",$X4=""),0,($X4-$W4)*24),1))</f>
        <v>2.5</v>
      </c>
      <c r="Z4" s="38">
        <v>4</v>
      </c>
      <c r="AA4" s="41">
        <f t="shared" ref="AA4:AA11" si="2">IF($B4="","",ROUND(SUMIF($B:$B,$B4,$M:$M),1))</f>
        <v>32</v>
      </c>
      <c r="AB4" s="41">
        <f t="shared" ref="AB4:AB11" si="3">IF($B4="","",ROUND(SUMIF($B:$B,$B4,$Y:$Y),1))</f>
        <v>4</v>
      </c>
      <c r="AC4" s="42">
        <f>IF(TblStudents[[#This Row],[الاسم]]="","",ROUND(SUMIF(TblStudents[الاسم],TblStudents[[#This Row],[الاسم]],TblStudents[_مستحق الصف بعد الخصم]),3))</f>
        <v>86</v>
      </c>
      <c r="AD4" s="42">
        <f t="shared" ref="AD4:AD11" si="4">IF($B4="","",ROUND(SUMIF($B:$B,$B4,$O:$O),3))</f>
        <v>56</v>
      </c>
      <c r="AE4" s="41">
        <f t="shared" ref="AE4:AE11" si="5">IF($B4="","",ROUND($AA4-$AB4,1))</f>
        <v>28</v>
      </c>
      <c r="AF4" s="42">
        <f t="shared" ref="AF4:AF11" si="6">IF($B4="","",ROUND($AC4-$AD4,3))</f>
        <v>30</v>
      </c>
      <c r="AG4" s="35" t="str">
        <f t="shared" ref="AG4:AG11" si="7">IF($B4="","",IF($AC4=0,"— لا مستحق",IF($AF4&lt;=0,"✅ دفع كامل",IF($AD4&gt;0,"🟠 دفع جزئي","❌ لم يدفع"))))</f>
        <v>🟠 دفع جزئي</v>
      </c>
      <c r="AH4" s="35" t="str">
        <f>IF($B4="","",IF($AE4&lt;0,"⚠ تجاوز الساعات",IF($AE4&lt;=الإعدادات!$B$7,"⚠ رصيد شارف على النفاد","✅ سليم")))</f>
        <v>✅ سليم</v>
      </c>
      <c r="AI4" s="42">
        <f>IF($B4="","",ROUND(IF($Z4="",0,$Z4)*IFERROR(INDEX(الإعدادات!$B$11:$B$16,MATCH($E4,الإعدادات!$A$11:$A$16,0)),0)*الإعدادات!$B$8,3))</f>
        <v>24</v>
      </c>
      <c r="AJ4" s="35" t="b">
        <f>IF($B4="","",COUNTIF($B$4:$B4,$B4)=1)</f>
        <v>1</v>
      </c>
      <c r="AK4" s="36"/>
      <c r="AL4" s="189">
        <f>IF(TblStudents[[#This Row],[الاسم]]="","",IFERROR(INDEX(SIB_RATES,MATCH(TblStudents[[#This Row],[مجموعة الإخوة]],SIB_CODES,0)),0))</f>
        <v>0</v>
      </c>
      <c r="AM4" s="196">
        <f>IF(TblStudents[[#This Row],[الاسم]]="","",ROUND(TblStudents[[#This Row],[المبلغ الكلي (إضافة)]]*(1-IF(TblStudents[[#This Row],[نسبة خصم الإخوة]]="",0,TblStudents[[#This Row],[نسبة خصم الإخوة]])),3))</f>
        <v>86</v>
      </c>
    </row>
    <row r="5" spans="1:39" x14ac:dyDescent="0.25">
      <c r="A5" s="35" t="str">
        <f t="shared" si="0"/>
        <v>STD-0002</v>
      </c>
      <c r="B5" s="36" t="s">
        <v>80</v>
      </c>
      <c r="C5" s="36" t="s">
        <v>81</v>
      </c>
      <c r="D5" s="36" t="s">
        <v>82</v>
      </c>
      <c r="E5" s="36" t="s">
        <v>83</v>
      </c>
      <c r="F5" s="36" t="s">
        <v>84</v>
      </c>
      <c r="G5" s="36" t="s">
        <v>85</v>
      </c>
      <c r="H5" s="36" t="s">
        <v>86</v>
      </c>
      <c r="I5" s="36" t="s">
        <v>87</v>
      </c>
      <c r="J5" s="36" t="s">
        <v>88</v>
      </c>
      <c r="K5" s="36" t="s">
        <v>89</v>
      </c>
      <c r="L5" s="37">
        <v>46027</v>
      </c>
      <c r="M5" s="38"/>
      <c r="N5" s="39"/>
      <c r="O5" s="39"/>
      <c r="P5" s="36" t="s">
        <v>94</v>
      </c>
      <c r="Q5" s="36" t="s">
        <v>95</v>
      </c>
      <c r="R5" s="203" t="str">
        <f>IF(TblStudents[[#This Row],[المعلم]]="","",IFERROR(INDEX(المعلمون!$C$4:$C$56,MATCH(TblStudents[[#This Row],[المعلم]],المعلمون!$B$4:$B$56,0)),""))</f>
        <v/>
      </c>
      <c r="S5" s="36" t="s">
        <v>96</v>
      </c>
      <c r="T5" s="40">
        <v>0.70833333333333337</v>
      </c>
      <c r="U5" s="40">
        <v>0.77083333333333337</v>
      </c>
      <c r="V5" s="36"/>
      <c r="W5" s="40"/>
      <c r="X5" s="40"/>
      <c r="Y5" s="41">
        <f t="shared" si="1"/>
        <v>1.5</v>
      </c>
      <c r="Z5" s="38">
        <v>2</v>
      </c>
      <c r="AA5" s="41">
        <f t="shared" si="2"/>
        <v>32</v>
      </c>
      <c r="AB5" s="41">
        <f t="shared" si="3"/>
        <v>4</v>
      </c>
      <c r="AC5" s="42">
        <f>IF(TblStudents[[#This Row],[الاسم]]="","",ROUND(SUMIF(TblStudents[الاسم],TblStudents[[#This Row],[الاسم]],TblStudents[_مستحق الصف بعد الخصم]),3))</f>
        <v>86</v>
      </c>
      <c r="AD5" s="42">
        <f t="shared" si="4"/>
        <v>56</v>
      </c>
      <c r="AE5" s="41">
        <f t="shared" si="5"/>
        <v>28</v>
      </c>
      <c r="AF5" s="42">
        <f t="shared" si="6"/>
        <v>30</v>
      </c>
      <c r="AG5" s="35" t="str">
        <f t="shared" si="7"/>
        <v>🟠 دفع جزئي</v>
      </c>
      <c r="AH5" s="35" t="str">
        <f>IF($B5="","",IF($AE5&lt;0,"⚠ تجاوز الساعات",IF($AE5&lt;=الإعدادات!$B$7,"⚠ رصيد شارف على النفاد","✅ سليم")))</f>
        <v>✅ سليم</v>
      </c>
      <c r="AI5" s="42">
        <f>IF($B5="","",ROUND(IF($Z5="",0,$Z5)*IFERROR(INDEX(الإعدادات!$B$11:$B$16,MATCH($E5,الإعدادات!$A$11:$A$16,0)),0)*الإعدادات!$B$8,3))</f>
        <v>12</v>
      </c>
      <c r="AJ5" s="35" t="b">
        <f>IF($B5="","",COUNTIF($B$4:$B5,$B5)=1)</f>
        <v>0</v>
      </c>
      <c r="AK5" s="36"/>
      <c r="AL5" s="189">
        <f>IF(TblStudents[[#This Row],[الاسم]]="","",IFERROR(INDEX(SIB_RATES,MATCH(TblStudents[[#This Row],[مجموعة الإخوة]],SIB_CODES,0)),0))</f>
        <v>0</v>
      </c>
      <c r="AM5" s="196">
        <f>IF(TblStudents[[#This Row],[الاسم]]="","",ROUND(TblStudents[[#This Row],[المبلغ الكلي (إضافة)]]*(1-IF(TblStudents[[#This Row],[نسبة خصم الإخوة]]="",0,TblStudents[[#This Row],[نسبة خصم الإخوة]])),3))</f>
        <v>0</v>
      </c>
    </row>
    <row r="6" spans="1:39" x14ac:dyDescent="0.25">
      <c r="A6" s="43" t="str">
        <f t="shared" si="0"/>
        <v>STD-0003</v>
      </c>
      <c r="B6" s="44" t="s">
        <v>97</v>
      </c>
      <c r="C6" s="44" t="s">
        <v>98</v>
      </c>
      <c r="D6" s="44" t="s">
        <v>82</v>
      </c>
      <c r="E6" s="44" t="s">
        <v>99</v>
      </c>
      <c r="F6" s="44" t="s">
        <v>100</v>
      </c>
      <c r="G6" s="44" t="s">
        <v>85</v>
      </c>
      <c r="H6" s="44" t="s">
        <v>86</v>
      </c>
      <c r="I6" s="44" t="s">
        <v>87</v>
      </c>
      <c r="J6" s="44" t="s">
        <v>88</v>
      </c>
      <c r="K6" s="44" t="s">
        <v>89</v>
      </c>
      <c r="L6" s="45">
        <v>46027</v>
      </c>
      <c r="M6" s="46">
        <v>15</v>
      </c>
      <c r="N6" s="47">
        <v>30</v>
      </c>
      <c r="O6" s="47">
        <v>30</v>
      </c>
      <c r="P6" s="44" t="s">
        <v>94</v>
      </c>
      <c r="Q6" s="44" t="s">
        <v>95</v>
      </c>
      <c r="R6" s="204" t="str">
        <f>IF(TblStudents[[#This Row],[المعلم]]="","",IFERROR(INDEX(المعلمون!$C$4:$C$56,MATCH(TblStudents[[#This Row],[المعلم]],المعلمون!$B$4:$B$56,0)),""))</f>
        <v/>
      </c>
      <c r="S6" s="44" t="s">
        <v>101</v>
      </c>
      <c r="T6" s="48">
        <v>0.70833333333333337</v>
      </c>
      <c r="U6" s="48">
        <v>0.77083333333333337</v>
      </c>
      <c r="V6" s="44"/>
      <c r="W6" s="48"/>
      <c r="X6" s="48"/>
      <c r="Y6" s="49">
        <f t="shared" si="1"/>
        <v>1.5</v>
      </c>
      <c r="Z6" s="46">
        <v>3</v>
      </c>
      <c r="AA6" s="49">
        <f t="shared" si="2"/>
        <v>15</v>
      </c>
      <c r="AB6" s="49">
        <f t="shared" si="3"/>
        <v>1.5</v>
      </c>
      <c r="AC6" s="50">
        <f>IF(TblStudents[[#This Row],[الاسم]]="","",ROUND(SUMIF(TblStudents[الاسم],TblStudents[[#This Row],[الاسم]],TblStudents[_مستحق الصف بعد الخصم]),3))</f>
        <v>30</v>
      </c>
      <c r="AD6" s="50">
        <f t="shared" si="4"/>
        <v>30</v>
      </c>
      <c r="AE6" s="49">
        <f t="shared" si="5"/>
        <v>13.5</v>
      </c>
      <c r="AF6" s="50">
        <f t="shared" si="6"/>
        <v>0</v>
      </c>
      <c r="AG6" s="43" t="str">
        <f t="shared" si="7"/>
        <v>✅ دفع كامل</v>
      </c>
      <c r="AH6" s="43" t="str">
        <f>IF($B6="","",IF($AE6&lt;0,"⚠ تجاوز الساعات",IF($AE6&lt;=الإعدادات!$B$7,"⚠ رصيد شارف على النفاد","✅ سليم")))</f>
        <v>✅ سليم</v>
      </c>
      <c r="AI6" s="50">
        <f>IF($B6="","",ROUND(IF($Z6="",0,$Z6)*IFERROR(INDEX(الإعدادات!$B$11:$B$16,MATCH($E6,الإعدادات!$A$11:$A$16,0)),0)*الإعدادات!$B$8,3))</f>
        <v>15</v>
      </c>
      <c r="AJ6" s="43" t="b">
        <f>IF($B6="","",COUNTIF($B$4:$B6,$B6)=1)</f>
        <v>1</v>
      </c>
      <c r="AK6" s="44"/>
      <c r="AL6" s="190">
        <f>IF(TblStudents[[#This Row],[الاسم]]="","",IFERROR(INDEX(SIB_RATES,MATCH(TblStudents[[#This Row],[مجموعة الإخوة]],SIB_CODES,0)),0))</f>
        <v>0</v>
      </c>
      <c r="AM6" s="197">
        <f>IF(TblStudents[[#This Row],[الاسم]]="","",ROUND(TblStudents[[#This Row],[المبلغ الكلي (إضافة)]]*(1-IF(TblStudents[[#This Row],[نسبة خصم الإخوة]]="",0,TblStudents[[#This Row],[نسبة خصم الإخوة]])),3))</f>
        <v>30</v>
      </c>
    </row>
    <row r="7" spans="1:39" x14ac:dyDescent="0.25">
      <c r="A7" s="51" t="str">
        <f t="shared" si="0"/>
        <v>STD-0004</v>
      </c>
      <c r="B7" s="52" t="s">
        <v>102</v>
      </c>
      <c r="C7" s="52" t="s">
        <v>103</v>
      </c>
      <c r="D7" s="52" t="s">
        <v>104</v>
      </c>
      <c r="E7" s="52" t="s">
        <v>105</v>
      </c>
      <c r="F7" s="52" t="s">
        <v>106</v>
      </c>
      <c r="G7" s="52" t="s">
        <v>85</v>
      </c>
      <c r="H7" s="52" t="s">
        <v>107</v>
      </c>
      <c r="I7" s="52" t="s">
        <v>108</v>
      </c>
      <c r="J7" s="52" t="s">
        <v>109</v>
      </c>
      <c r="K7" s="52" t="s">
        <v>110</v>
      </c>
      <c r="L7" s="53">
        <v>46054</v>
      </c>
      <c r="M7" s="54">
        <v>24</v>
      </c>
      <c r="N7" s="55">
        <v>120</v>
      </c>
      <c r="O7" s="55">
        <v>60</v>
      </c>
      <c r="P7" s="52" t="s">
        <v>111</v>
      </c>
      <c r="Q7" s="52" t="s">
        <v>112</v>
      </c>
      <c r="R7" s="205" t="str">
        <f>IF(TblStudents[[#This Row],[المعلم]]="","",IFERROR(INDEX(المعلمون!$C$4:$C$56,MATCH(TblStudents[[#This Row],[المعلم]],المعلمون!$B$4:$B$56,0)),""))</f>
        <v/>
      </c>
      <c r="S7" s="52" t="s">
        <v>113</v>
      </c>
      <c r="T7" s="56">
        <v>0.75</v>
      </c>
      <c r="U7" s="56">
        <v>0.83333333333333337</v>
      </c>
      <c r="V7" s="52" t="s">
        <v>114</v>
      </c>
      <c r="W7" s="56">
        <v>0.75</v>
      </c>
      <c r="X7" s="56">
        <v>0.83333333333333337</v>
      </c>
      <c r="Y7" s="57">
        <f t="shared" si="1"/>
        <v>4</v>
      </c>
      <c r="Z7" s="54">
        <v>6</v>
      </c>
      <c r="AA7" s="57">
        <f t="shared" si="2"/>
        <v>24</v>
      </c>
      <c r="AB7" s="57">
        <f t="shared" si="3"/>
        <v>4</v>
      </c>
      <c r="AC7" s="58">
        <f>IF(TblStudents[[#This Row],[الاسم]]="","",ROUND(SUMIF(TblStudents[الاسم],TblStudents[[#This Row],[الاسم]],TblStudents[_مستحق الصف بعد الخصم]),3))</f>
        <v>120</v>
      </c>
      <c r="AD7" s="58">
        <f t="shared" si="4"/>
        <v>60</v>
      </c>
      <c r="AE7" s="57">
        <f t="shared" si="5"/>
        <v>20</v>
      </c>
      <c r="AF7" s="58">
        <f t="shared" si="6"/>
        <v>60</v>
      </c>
      <c r="AG7" s="51" t="str">
        <f t="shared" si="7"/>
        <v>🟠 دفع جزئي</v>
      </c>
      <c r="AH7" s="51" t="str">
        <f>IF($B7="","",IF($AE7&lt;0,"⚠ تجاوز الساعات",IF($AE7&lt;=الإعدادات!$B$7,"⚠ رصيد شارف على النفاد","✅ سليم")))</f>
        <v>✅ سليم</v>
      </c>
      <c r="AI7" s="58">
        <f>IF($B7="","",ROUND(IF($Z7="",0,$Z7)*IFERROR(INDEX(الإعدادات!$B$11:$B$16,MATCH($E7,الإعدادات!$A$11:$A$16,0)),0)*الإعدادات!$B$8,3))</f>
        <v>45</v>
      </c>
      <c r="AJ7" s="51" t="b">
        <f>IF($B7="","",COUNTIF($B$4:$B7,$B7)=1)</f>
        <v>1</v>
      </c>
      <c r="AK7" s="52"/>
      <c r="AL7" s="191">
        <f>IF(TblStudents[[#This Row],[الاسم]]="","",IFERROR(INDEX(SIB_RATES,MATCH(TblStudents[[#This Row],[مجموعة الإخوة]],SIB_CODES,0)),0))</f>
        <v>0</v>
      </c>
      <c r="AM7" s="198">
        <f>IF(TblStudents[[#This Row],[الاسم]]="","",ROUND(TblStudents[[#This Row],[المبلغ الكلي (إضافة)]]*(1-IF(TblStudents[[#This Row],[نسبة خصم الإخوة]]="",0,TblStudents[[#This Row],[نسبة خصم الإخوة]])),3))</f>
        <v>120</v>
      </c>
    </row>
    <row r="8" spans="1:39" x14ac:dyDescent="0.25">
      <c r="A8" s="59" t="str">
        <f t="shared" si="0"/>
        <v>STD-0005</v>
      </c>
      <c r="B8" s="60" t="s">
        <v>115</v>
      </c>
      <c r="C8" s="60" t="s">
        <v>116</v>
      </c>
      <c r="D8" s="60" t="s">
        <v>117</v>
      </c>
      <c r="E8" s="60" t="s">
        <v>118</v>
      </c>
      <c r="F8" s="60" t="s">
        <v>119</v>
      </c>
      <c r="G8" s="60" t="s">
        <v>120</v>
      </c>
      <c r="H8" s="60" t="s">
        <v>86</v>
      </c>
      <c r="I8" s="60" t="s">
        <v>121</v>
      </c>
      <c r="J8" s="60" t="s">
        <v>122</v>
      </c>
      <c r="K8" s="60" t="s">
        <v>123</v>
      </c>
      <c r="L8" s="61">
        <v>46063</v>
      </c>
      <c r="M8" s="62">
        <v>10</v>
      </c>
      <c r="N8" s="63">
        <v>15</v>
      </c>
      <c r="O8" s="63">
        <v>0</v>
      </c>
      <c r="P8" s="60" t="s">
        <v>94</v>
      </c>
      <c r="Q8" s="60" t="s">
        <v>95</v>
      </c>
      <c r="R8" s="206" t="str">
        <f>IF(TblStudents[[#This Row],[المعلم]]="","",IFERROR(INDEX(المعلمون!$C$4:$C$56,MATCH(TblStudents[[#This Row],[المعلم]],المعلمون!$B$4:$B$56,0)),""))</f>
        <v/>
      </c>
      <c r="S8" s="60" t="s">
        <v>101</v>
      </c>
      <c r="T8" s="64">
        <v>0.75</v>
      </c>
      <c r="U8" s="64">
        <v>0.79166666666666663</v>
      </c>
      <c r="V8" s="60"/>
      <c r="W8" s="64"/>
      <c r="X8" s="64"/>
      <c r="Y8" s="65">
        <f t="shared" si="1"/>
        <v>1</v>
      </c>
      <c r="Z8" s="62">
        <v>1</v>
      </c>
      <c r="AA8" s="65">
        <f t="shared" si="2"/>
        <v>10</v>
      </c>
      <c r="AB8" s="65">
        <f t="shared" si="3"/>
        <v>1</v>
      </c>
      <c r="AC8" s="66">
        <f>IF(TblStudents[[#This Row],[الاسم]]="","",ROUND(SUMIF(TblStudents[الاسم],TblStudents[[#This Row],[الاسم]],TblStudents[_مستحق الصف بعد الخصم]),3))</f>
        <v>15</v>
      </c>
      <c r="AD8" s="66">
        <f t="shared" si="4"/>
        <v>0</v>
      </c>
      <c r="AE8" s="65">
        <f t="shared" si="5"/>
        <v>9</v>
      </c>
      <c r="AF8" s="66">
        <f t="shared" si="6"/>
        <v>15</v>
      </c>
      <c r="AG8" s="59" t="str">
        <f t="shared" si="7"/>
        <v>❌ لم يدفع</v>
      </c>
      <c r="AH8" s="59" t="str">
        <f>IF($B8="","",IF($AE8&lt;0,"⚠ تجاوز الساعات",IF($AE8&lt;=الإعدادات!$B$7,"⚠ رصيد شارف على النفاد","✅ سليم")))</f>
        <v>✅ سليم</v>
      </c>
      <c r="AI8" s="66">
        <f>IF($B8="","",ROUND(IF($Z8="",0,$Z8)*IFERROR(INDEX(الإعدادات!$B$11:$B$16,MATCH($E8,الإعدادات!$A$11:$A$16,0)),0)*الإعدادات!$B$8,3))</f>
        <v>11.25</v>
      </c>
      <c r="AJ8" s="59" t="b">
        <f>IF($B8="","",COUNTIF($B$4:$B8,$B8)=1)</f>
        <v>1</v>
      </c>
      <c r="AK8" s="60"/>
      <c r="AL8" s="192">
        <f>IF(TblStudents[[#This Row],[الاسم]]="","",IFERROR(INDEX(SIB_RATES,MATCH(TblStudents[[#This Row],[مجموعة الإخوة]],SIB_CODES,0)),0))</f>
        <v>0</v>
      </c>
      <c r="AM8" s="199">
        <f>IF(TblStudents[[#This Row],[الاسم]]="","",ROUND(TblStudents[[#This Row],[المبلغ الكلي (إضافة)]]*(1-IF(TblStudents[[#This Row],[نسبة خصم الإخوة]]="",0,TblStudents[[#This Row],[نسبة خصم الإخوة]])),3))</f>
        <v>15</v>
      </c>
    </row>
    <row r="9" spans="1:39" x14ac:dyDescent="0.25">
      <c r="A9" s="67" t="str">
        <f t="shared" si="0"/>
        <v>STD-0006</v>
      </c>
      <c r="B9" s="68" t="s">
        <v>124</v>
      </c>
      <c r="C9" s="68" t="s">
        <v>125</v>
      </c>
      <c r="D9" s="68" t="s">
        <v>126</v>
      </c>
      <c r="E9" s="68" t="s">
        <v>127</v>
      </c>
      <c r="F9" s="68" t="s">
        <v>119</v>
      </c>
      <c r="G9" s="68" t="s">
        <v>85</v>
      </c>
      <c r="H9" s="68" t="s">
        <v>128</v>
      </c>
      <c r="I9" s="68" t="s">
        <v>129</v>
      </c>
      <c r="J9" s="68" t="s">
        <v>130</v>
      </c>
      <c r="K9" s="68" t="s">
        <v>131</v>
      </c>
      <c r="L9" s="69">
        <v>46065</v>
      </c>
      <c r="M9" s="70">
        <v>12</v>
      </c>
      <c r="N9" s="71">
        <v>15</v>
      </c>
      <c r="O9" s="71">
        <v>10</v>
      </c>
      <c r="P9" s="68" t="s">
        <v>132</v>
      </c>
      <c r="Q9" s="68" t="s">
        <v>133</v>
      </c>
      <c r="R9" s="207" t="str">
        <f>IF(TblStudents[[#This Row],[المعلم]]="","",IFERROR(INDEX(المعلمون!$C$4:$C$56,MATCH(TblStudents[[#This Row],[المعلم]],المعلمون!$B$4:$B$56,0)),""))</f>
        <v/>
      </c>
      <c r="S9" s="68" t="s">
        <v>134</v>
      </c>
      <c r="T9" s="72">
        <v>0.41666666666666669</v>
      </c>
      <c r="U9" s="72">
        <v>0.47916666666666669</v>
      </c>
      <c r="V9" s="68" t="s">
        <v>92</v>
      </c>
      <c r="W9" s="72">
        <v>0.41666666666666669</v>
      </c>
      <c r="X9" s="72">
        <v>0.47916666666666669</v>
      </c>
      <c r="Y9" s="73">
        <f t="shared" si="1"/>
        <v>3</v>
      </c>
      <c r="Z9" s="70">
        <v>1.5</v>
      </c>
      <c r="AA9" s="73">
        <f t="shared" si="2"/>
        <v>12</v>
      </c>
      <c r="AB9" s="73">
        <f t="shared" si="3"/>
        <v>3</v>
      </c>
      <c r="AC9" s="74">
        <f>IF(TblStudents[[#This Row],[الاسم]]="","",ROUND(SUMIF(TblStudents[الاسم],TblStudents[[#This Row],[الاسم]],TblStudents[_مستحق الصف بعد الخصم]),3))</f>
        <v>15</v>
      </c>
      <c r="AD9" s="74">
        <f t="shared" si="4"/>
        <v>10</v>
      </c>
      <c r="AE9" s="73">
        <f t="shared" si="5"/>
        <v>9</v>
      </c>
      <c r="AF9" s="74">
        <f t="shared" si="6"/>
        <v>5</v>
      </c>
      <c r="AG9" s="67" t="str">
        <f t="shared" si="7"/>
        <v>🟠 دفع جزئي</v>
      </c>
      <c r="AH9" s="67" t="str">
        <f>IF($B9="","",IF($AE9&lt;0,"⚠ تجاوز الساعات",IF($AE9&lt;=الإعدادات!$B$7,"⚠ رصيد شارف على النفاد","✅ سليم")))</f>
        <v>✅ سليم</v>
      </c>
      <c r="AI9" s="74">
        <f>IF($B9="","",ROUND(IF($Z9="",0,$Z9)*IFERROR(INDEX(الإعدادات!$B$11:$B$16,MATCH($E9,الإعدادات!$A$11:$A$16,0)),0)*الإعدادات!$B$8,3))</f>
        <v>11.25</v>
      </c>
      <c r="AJ9" s="75" t="b">
        <f>IF($B9="","",COUNTIF($B$4:$B9,$B9)=1)</f>
        <v>1</v>
      </c>
      <c r="AK9" s="68"/>
      <c r="AL9" s="193">
        <f>IF(TblStudents[[#This Row],[الاسم]]="","",IFERROR(INDEX(SIB_RATES,MATCH(TblStudents[[#This Row],[مجموعة الإخوة]],SIB_CODES,0)),0))</f>
        <v>0</v>
      </c>
      <c r="AM9" s="200">
        <f>IF(TblStudents[[#This Row],[الاسم]]="","",ROUND(TblStudents[[#This Row],[المبلغ الكلي (إضافة)]]*(1-IF(TblStudents[[#This Row],[نسبة خصم الإخوة]]="",0,TblStudents[[#This Row],[نسبة خصم الإخوة]])),3))</f>
        <v>15</v>
      </c>
    </row>
    <row r="10" spans="1:39" ht="14.4" x14ac:dyDescent="0.3">
      <c r="A10" s="94" t="str">
        <f t="shared" si="0"/>
        <v>STD-0007</v>
      </c>
      <c r="B10" s="95" t="s">
        <v>358</v>
      </c>
      <c r="C10" s="95">
        <v>55519140</v>
      </c>
      <c r="D10" s="95">
        <v>55555555</v>
      </c>
      <c r="E10" s="95" t="s">
        <v>200</v>
      </c>
      <c r="F10" s="95"/>
      <c r="G10" s="95" t="s">
        <v>244</v>
      </c>
      <c r="H10" s="95" t="s">
        <v>128</v>
      </c>
      <c r="I10" s="95" t="s">
        <v>223</v>
      </c>
      <c r="J10" s="95" t="s">
        <v>88</v>
      </c>
      <c r="K10" s="95"/>
      <c r="L10" s="96">
        <v>46218</v>
      </c>
      <c r="M10" s="97">
        <v>6</v>
      </c>
      <c r="N10" s="98">
        <v>30</v>
      </c>
      <c r="O10" s="98">
        <v>7</v>
      </c>
      <c r="P10" s="95" t="s">
        <v>215</v>
      </c>
      <c r="Q10" s="95" t="s">
        <v>91</v>
      </c>
      <c r="R10" s="208" t="str">
        <f>IF(TblStudents[[#This Row],[المعلم]]="","",IFERROR(INDEX(المعلمون!$C$4:$C$56,MATCH(TblStudents[[#This Row],[المعلم]],المعلمون!$B$4:$B$56,0)),""))</f>
        <v/>
      </c>
      <c r="S10" s="95" t="s">
        <v>114</v>
      </c>
      <c r="T10" s="99">
        <v>0.375</v>
      </c>
      <c r="U10" s="99">
        <v>0.4375</v>
      </c>
      <c r="V10" s="95" t="s">
        <v>113</v>
      </c>
      <c r="W10" s="99">
        <v>0.125</v>
      </c>
      <c r="X10" s="99">
        <v>0.16666666666666666</v>
      </c>
      <c r="Y10" s="100">
        <f t="shared" si="1"/>
        <v>2.5</v>
      </c>
      <c r="Z10" s="97">
        <v>2.5</v>
      </c>
      <c r="AA10" s="100">
        <f t="shared" si="2"/>
        <v>6</v>
      </c>
      <c r="AB10" s="100">
        <f t="shared" si="3"/>
        <v>2.5</v>
      </c>
      <c r="AC10" s="101">
        <f>IF(TblStudents[[#This Row],[الاسم]]="","",ROUND(SUMIF(TblStudents[الاسم],TblStudents[[#This Row],[الاسم]],TblStudents[_مستحق الصف بعد الخصم]),3))</f>
        <v>30</v>
      </c>
      <c r="AD10" s="101">
        <f t="shared" si="4"/>
        <v>7</v>
      </c>
      <c r="AE10" s="100">
        <f t="shared" si="5"/>
        <v>3.5</v>
      </c>
      <c r="AF10" s="101">
        <f t="shared" si="6"/>
        <v>23</v>
      </c>
      <c r="AG10" s="94" t="str">
        <f t="shared" si="7"/>
        <v>🟠 دفع جزئي</v>
      </c>
      <c r="AH10" s="94" t="str">
        <f>IF($B10="","",IF($AE10&lt;0,"⚠ تجاوز الساعات",IF($AE10&lt;=الإعدادات!$B$7,"⚠ رصيد شارف على النفاد","✅ سليم")))</f>
        <v>✅ سليم</v>
      </c>
      <c r="AI10" s="101">
        <f>IF($B10="","",ROUND(IF($Z10="",0,$Z10)*IFERROR(INDEX(الإعدادات!$B$11:$B$16,MATCH($E10,الإعدادات!$A$11:$A$16,0)),0)*الإعدادات!$B$8,3))</f>
        <v>18.75</v>
      </c>
      <c r="AJ10" s="94" t="b">
        <f>IF($B10="","",COUNTIF($B$4:$B10,$B10)=1)</f>
        <v>1</v>
      </c>
      <c r="AK10" s="95"/>
      <c r="AL10" s="194">
        <f>IF(TblStudents[[#This Row],[الاسم]]="","",IFERROR(INDEX(SIB_RATES,MATCH(TblStudents[[#This Row],[مجموعة الإخوة]],SIB_CODES,0)),0))</f>
        <v>0</v>
      </c>
      <c r="AM10" s="201">
        <f>IF(TblStudents[[#This Row],[الاسم]]="","",ROUND(TblStudents[[#This Row],[المبلغ الكلي (إضافة)]]*(1-IF(TblStudents[[#This Row],[نسبة خصم الإخوة]]="",0,TblStudents[[#This Row],[نسبة خصم الإخوة]])),3))</f>
        <v>30</v>
      </c>
    </row>
    <row r="11" spans="1:39" ht="14.4" x14ac:dyDescent="0.3">
      <c r="A11" s="170" t="str">
        <f t="shared" si="0"/>
        <v>STD-0008</v>
      </c>
      <c r="B11" s="171" t="s">
        <v>526</v>
      </c>
      <c r="C11" s="171">
        <v>55519140</v>
      </c>
      <c r="D11" s="171">
        <v>55519140</v>
      </c>
      <c r="E11" s="171" t="s">
        <v>99</v>
      </c>
      <c r="F11" s="171" t="s">
        <v>206</v>
      </c>
      <c r="G11" s="171" t="s">
        <v>85</v>
      </c>
      <c r="H11" s="171" t="s">
        <v>196</v>
      </c>
      <c r="I11" s="171" t="s">
        <v>202</v>
      </c>
      <c r="J11" s="171" t="s">
        <v>527</v>
      </c>
      <c r="K11" s="171"/>
      <c r="L11" s="172">
        <v>46220</v>
      </c>
      <c r="M11" s="173">
        <v>8</v>
      </c>
      <c r="N11" s="174">
        <v>56</v>
      </c>
      <c r="O11" s="174">
        <v>55</v>
      </c>
      <c r="P11" s="171" t="s">
        <v>90</v>
      </c>
      <c r="Q11" s="171" t="s">
        <v>441</v>
      </c>
      <c r="R11" s="209" t="str">
        <f>IF(TblStudents[[#This Row],[المعلم]]="","",IFERROR(INDEX(المعلمون!$C$4:$C$56,MATCH(TblStudents[[#This Row],[المعلم]],المعلمون!$B$4:$B$56,0)),""))</f>
        <v>رياضيات</v>
      </c>
      <c r="S11" s="171" t="s">
        <v>101</v>
      </c>
      <c r="T11" s="175">
        <v>0.25</v>
      </c>
      <c r="U11" s="175">
        <v>0.3125</v>
      </c>
      <c r="V11" s="171"/>
      <c r="W11" s="175"/>
      <c r="X11" s="175"/>
      <c r="Y11" s="176">
        <f t="shared" si="1"/>
        <v>1.5</v>
      </c>
      <c r="Z11" s="173">
        <v>6</v>
      </c>
      <c r="AA11" s="176">
        <f t="shared" si="2"/>
        <v>8</v>
      </c>
      <c r="AB11" s="176">
        <f t="shared" si="3"/>
        <v>1.5</v>
      </c>
      <c r="AC11" s="177">
        <f>IF(TblStudents[[#This Row],[الاسم]]="","",ROUND(SUMIF(TblStudents[الاسم],TblStudents[[#This Row],[الاسم]],TblStudents[_مستحق الصف بعد الخصم]),3))</f>
        <v>56</v>
      </c>
      <c r="AD11" s="177">
        <f t="shared" si="4"/>
        <v>55</v>
      </c>
      <c r="AE11" s="176">
        <f t="shared" si="5"/>
        <v>6.5</v>
      </c>
      <c r="AF11" s="177">
        <f t="shared" si="6"/>
        <v>1</v>
      </c>
      <c r="AG11" s="170" t="str">
        <f t="shared" si="7"/>
        <v>🟠 دفع جزئي</v>
      </c>
      <c r="AH11" s="170" t="str">
        <f>IF($B11="","",IF($AE11&lt;0,"⚠ تجاوز الساعات",IF($AE11&lt;=الإعدادات!$B$7,"⚠ رصيد شارف على النفاد","✅ سليم")))</f>
        <v>✅ سليم</v>
      </c>
      <c r="AI11" s="177">
        <f>IF($B11="","",ROUND(IF($Z11="",0,$Z11)*IFERROR(INDEX(الإعدادات!$B$11:$B$16,MATCH($E11,الإعدادات!$A$11:$A$16,0)),0)*الإعدادات!$B$8,3))</f>
        <v>30</v>
      </c>
      <c r="AJ11" s="170" t="b">
        <f>IF($B11="","",COUNTIF($B$4:$B11,$B11)=1)</f>
        <v>1</v>
      </c>
      <c r="AK11" s="171"/>
      <c r="AL11" s="195">
        <f>IF(TblStudents[[#This Row],[الاسم]]="","",IFERROR(INDEX(SIB_RATES,MATCH(TblStudents[[#This Row],[مجموعة الإخوة]],SIB_CODES,0)),0))</f>
        <v>0</v>
      </c>
      <c r="AM11" s="202">
        <f>IF(TblStudents[[#This Row],[الاسم]]="","",ROUND(TblStudents[[#This Row],[المبلغ الكلي (إضافة)]]*(1-IF(TblStudents[[#This Row],[نسبة خصم الإخوة]]="",0,TblStudents[[#This Row],[نسبة خصم الإخوة]])),3))</f>
        <v>56</v>
      </c>
    </row>
  </sheetData>
  <mergeCells count="1">
    <mergeCell ref="A1:AH1"/>
  </mergeCells>
  <conditionalFormatting sqref="AB12:AB5000">
    <cfRule type="expression" dxfId="53" priority="1">
      <formula>ISNUMBER(SEARCH("✅",$AB12))</formula>
    </cfRule>
    <cfRule type="expression" dxfId="52" priority="2">
      <formula>ISNUMBER(SEARCH("🟠",$AB12))</formula>
    </cfRule>
    <cfRule type="expression" dxfId="51" priority="3">
      <formula>ISNUMBER(SEARCH("❌",$AB12))</formula>
    </cfRule>
  </conditionalFormatting>
  <conditionalFormatting sqref="B4:B11">
    <cfRule type="expression" dxfId="50" priority="4">
      <formula>OR($S4=CHOOSE(WEEKDAY(TODAY()),"الأحد","الإثنين","الثلاثاء","الأربعاء","الخميس","الجمعة","السبت"),$V4=CHOOSE(WEEKDAY(TODAY()),"الأحد","الإثنين","الثلاثاء","الأربعاء","الخميس","الجمعة","السبت"))</formula>
    </cfRule>
  </conditionalFormatting>
  <conditionalFormatting sqref="A12:AJ100 A4:AM11">
    <cfRule type="expression" dxfId="49" priority="5">
      <formula>AND($B4&lt;&gt;"",MOD(MATCH($B4,$B$4:$B$200,0)-1,6)=0)</formula>
    </cfRule>
  </conditionalFormatting>
  <conditionalFormatting sqref="A12:AJ100 A4:AM11">
    <cfRule type="expression" dxfId="48" priority="6">
      <formula>AND($B4&lt;&gt;"",MOD(MATCH($B4,$B$4:$B$200,0)-1,6)=1)</formula>
    </cfRule>
  </conditionalFormatting>
  <conditionalFormatting sqref="A12:AJ100 A4:AM11">
    <cfRule type="expression" dxfId="47" priority="7">
      <formula>AND($B4&lt;&gt;"",MOD(MATCH($B4,$B$4:$B$200,0)-1,6)=2)</formula>
    </cfRule>
  </conditionalFormatting>
  <conditionalFormatting sqref="A12:AJ100 A4:AM11">
    <cfRule type="expression" dxfId="46" priority="8">
      <formula>AND($B4&lt;&gt;"",MOD(MATCH($B4,$B$4:$B$200,0)-1,6)=3)</formula>
    </cfRule>
  </conditionalFormatting>
  <conditionalFormatting sqref="A12:AJ100 A4:AM11">
    <cfRule type="expression" dxfId="45" priority="9">
      <formula>AND($B4&lt;&gt;"",MOD(MATCH($B4,$B$4:$B$200,0)-1,6)=4)</formula>
    </cfRule>
  </conditionalFormatting>
  <conditionalFormatting sqref="A12:AJ100 A4:AM11">
    <cfRule type="expression" dxfId="44" priority="10">
      <formula>AND($B4&lt;&gt;"",MOD(MATCH($B4,$B$4:$B$200,0)-1,6)=5)</formula>
    </cfRule>
  </conditionalFormatting>
  <conditionalFormatting sqref="B4:B100">
    <cfRule type="expression" dxfId="43" priority="11">
      <formula>AND($B4&lt;&gt;"",COUNTIF($B$4:$B4,$B4)&gt;1)</formula>
    </cfRule>
  </conditionalFormatting>
  <conditionalFormatting sqref="AC4:AC11">
    <cfRule type="expression" dxfId="41" priority="15">
      <formula>ISNUMBER(SEARCH("✅",$AC4))</formula>
    </cfRule>
    <cfRule type="expression" dxfId="40" priority="16">
      <formula>ISNUMBER(SEARCH("🟠",$AC4))</formula>
    </cfRule>
    <cfRule type="expression" dxfId="39" priority="17">
      <formula>ISNUMBER(SEARCH("❌",$AC4))</formula>
    </cfRule>
  </conditionalFormatting>
  <dataValidations count="2">
    <dataValidation type="list" allowBlank="1" showErrorMessage="1" errorTitle="إدخال غير صحيح" error="قيمة غير مسموحة — اختر من القائمة." sqref="Q4:Q5000" xr:uid="{00000000-0002-0000-0100-000006000000}">
      <formula1>TCH_NAMES</formula1>
    </dataValidation>
    <dataValidation type="custom" allowBlank="1" showInputMessage="1" showErrorMessage="1" errorTitle="خطأ في رقم الهاتف" error="يجب أن يتكون رقم الهاتف من 8 أرقام بالضبط." promptTitle="رقم الهاتف" prompt="أدخل رقم هاتف مكوّن من 8 أرقام." sqref="C4:D100" xr:uid="{1DDD720D-FB7C-4A1E-AFD9-E21D66FFE3BC}">
      <formula1>AND(ISNUMBER(C4+0),LEN(TEXT(C4,"0"))=8)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errorTitle="إدخال غير صحيح" error="قيمة غير مسموحة — اختر من القائمة." xr:uid="{00000000-0002-0000-0100-000000000000}">
          <x14:formula1>
            <xm:f>الإعدادات!$A$11:$A$16</xm:f>
          </x14:formula1>
          <xm:sqref>E4:E5000</xm:sqref>
        </x14:dataValidation>
        <x14:dataValidation type="list" allowBlank="1" showErrorMessage="1" errorTitle="إدخال غير صحيح" error="قيمة غير مسموحة — اختر من القائمة." xr:uid="{00000000-0002-0000-0100-000001000000}">
          <x14:formula1>
            <xm:f>الإعدادات!$G$11:$G$24</xm:f>
          </x14:formula1>
          <xm:sqref>F4:F5000</xm:sqref>
        </x14:dataValidation>
        <x14:dataValidation type="list" allowBlank="1" showErrorMessage="1" errorTitle="إدخال غير صحيح" error="قيمة غير مسموحة — اختر من القائمة." xr:uid="{00000000-0002-0000-0100-000002000000}">
          <x14:formula1>
            <xm:f>الإعدادات!$I$11:$I$16</xm:f>
          </x14:formula1>
          <xm:sqref>G4:G5000</xm:sqref>
        </x14:dataValidation>
        <x14:dataValidation type="list" allowBlank="1" showErrorMessage="1" errorTitle="إدخال غير صحيح" error="قيمة غير مسموحة — اختر من القائمة." xr:uid="{00000000-0002-0000-0100-000003000000}">
          <x14:formula1>
            <xm:f>الإعدادات!$J$11:$J$16</xm:f>
          </x14:formula1>
          <xm:sqref>H4:H5000</xm:sqref>
        </x14:dataValidation>
        <x14:dataValidation type="list" allowBlank="1" showErrorMessage="1" errorTitle="إدخال غير صحيح" error="قيمة غير مسموحة — اختر من القائمة." xr:uid="{00000000-0002-0000-0100-000004000000}">
          <x14:formula1>
            <xm:f>INDIRECT(INDEX(الإعدادات!$X$11:$X$16,MATCH($H4,الإعدادات!$W$11:$W$16,0)))</xm:f>
          </x14:formula1>
          <xm:sqref>I4:I5000</xm:sqref>
        </x14:dataValidation>
        <x14:dataValidation type="list" allowBlank="1" showErrorMessage="1" errorTitle="إدخال غير صحيح" error="قيمة غير مسموحة — اختر من القائمة." xr:uid="{00000000-0002-0000-0100-000005000000}">
          <x14:formula1>
            <xm:f>INDIRECT(INDEX(الإعدادات!$AH$11:$AH$16,MATCH($E4,الإعدادات!$AG$11:$AG$16,0)))</xm:f>
          </x14:formula1>
          <xm:sqref>P4:P5000</xm:sqref>
        </x14:dataValidation>
        <x14:dataValidation type="list" allowBlank="1" showErrorMessage="1" errorTitle="إدخال غير صحيح" error="قيمة غير مسموحة — اختر من القائمة." xr:uid="{00000000-0002-0000-0100-000007000000}">
          <x14:formula1>
            <xm:f>الإعدادات!$O$11:$O$17</xm:f>
          </x14:formula1>
          <xm:sqref>R12:R5000 V4:V11 U12:U5000 S4:S11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548235"/>
  </sheetPr>
  <dimension ref="A1:Q56"/>
  <sheetViews>
    <sheetView showGridLines="0" rightToLeft="1" workbookViewId="0">
      <pane xSplit="2" ySplit="3" topLeftCell="C46" activePane="bottomRight" state="frozen"/>
      <selection pane="topRight"/>
      <selection pane="bottomLeft"/>
      <selection pane="bottomRight" activeCell="B4" sqref="B4"/>
    </sheetView>
  </sheetViews>
  <sheetFormatPr defaultRowHeight="13.8" x14ac:dyDescent="0.25"/>
  <cols>
    <col min="1" max="1" width="11" style="93" customWidth="1"/>
    <col min="2" max="2" width="22" style="93" customWidth="1"/>
    <col min="3" max="3" width="15" style="93" customWidth="1"/>
    <col min="4" max="6" width="12" style="93" customWidth="1"/>
    <col min="7" max="7" width="10" style="93" customWidth="1"/>
    <col min="8" max="8" width="22" style="93" customWidth="1"/>
    <col min="9" max="10" width="10" style="93" customWidth="1"/>
    <col min="11" max="11" width="11" style="93" customWidth="1"/>
    <col min="12" max="12" width="13" style="93" customWidth="1"/>
    <col min="13" max="13" width="12" style="93" customWidth="1"/>
    <col min="14" max="16" width="13" style="93" customWidth="1"/>
    <col min="17" max="17" width="16" style="93" customWidth="1"/>
    <col min="18" max="16384" width="8.796875" style="93"/>
  </cols>
  <sheetData>
    <row r="1" spans="1:17" ht="24" customHeight="1" x14ac:dyDescent="0.3">
      <c r="A1" s="156" t="s">
        <v>135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</row>
    <row r="2" spans="1:17" ht="18" customHeight="1" x14ac:dyDescent="0.25">
      <c r="A2" s="1" t="str">
        <f>HYPERLINK("#'لوحة التحكم'!A1","🏠 لوحة التحكم")</f>
        <v>🏠 لوحة التحكم</v>
      </c>
      <c r="B2" s="1" t="str">
        <f>HYPERLINK("#'الطلاب'!A1","👥 الطلاب")</f>
        <v>👥 الطلاب</v>
      </c>
      <c r="C2" s="1" t="str">
        <f>HYPERLINK("#'المعلمون'!A1","👨‍🏫 المعلمون")</f>
        <v>👨‍🏫 المعلمون</v>
      </c>
      <c r="D2" s="1" t="str">
        <f>HYPERLINK("#'الحركات المالية'!A1","💰 الحركات المالية")</f>
        <v>💰 الحركات المالية</v>
      </c>
      <c r="E2" s="1" t="str">
        <f>HYPERLINK("#'الإعدادات'!A1","⚙️ الإعدادات")</f>
        <v>⚙️ الإعدادات</v>
      </c>
    </row>
    <row r="3" spans="1:17" ht="31.95" customHeight="1" x14ac:dyDescent="0.25">
      <c r="A3" s="16" t="s">
        <v>136</v>
      </c>
      <c r="B3" s="178" t="s">
        <v>441</v>
      </c>
      <c r="C3" s="16" t="s">
        <v>137</v>
      </c>
      <c r="D3" s="16" t="s">
        <v>56</v>
      </c>
      <c r="E3" s="16" t="s">
        <v>15</v>
      </c>
      <c r="F3" s="16" t="s">
        <v>138</v>
      </c>
      <c r="G3" s="16" t="s">
        <v>139</v>
      </c>
      <c r="H3" s="16" t="s">
        <v>140</v>
      </c>
      <c r="I3" s="16" t="s">
        <v>4</v>
      </c>
      <c r="J3" s="16" t="s">
        <v>141</v>
      </c>
      <c r="K3" s="16" t="s">
        <v>142</v>
      </c>
      <c r="L3" s="16" t="s">
        <v>143</v>
      </c>
      <c r="M3" s="16" t="s">
        <v>144</v>
      </c>
      <c r="N3" s="16" t="s">
        <v>145</v>
      </c>
      <c r="O3" s="16" t="s">
        <v>146</v>
      </c>
      <c r="P3" s="16" t="s">
        <v>147</v>
      </c>
      <c r="Q3" s="16" t="s">
        <v>79</v>
      </c>
    </row>
    <row r="4" spans="1:17" x14ac:dyDescent="0.25">
      <c r="A4" s="141" t="str">
        <f>IF($B4="","","TCH-"&amp;TEXT(ROW()-3,"0000"))</f>
        <v>TCH-0001</v>
      </c>
      <c r="B4" s="36" t="s">
        <v>406</v>
      </c>
      <c r="C4" s="36" t="s">
        <v>205</v>
      </c>
      <c r="D4" s="151" t="s">
        <v>473</v>
      </c>
      <c r="E4" s="36" t="s">
        <v>86</v>
      </c>
      <c r="F4" s="36"/>
      <c r="G4" s="36" t="s">
        <v>149</v>
      </c>
      <c r="H4" s="141"/>
      <c r="I4" s="144">
        <f>IF($B4="","",COUNTIF(الطلاب!$Q:$Q,$B4))</f>
        <v>0</v>
      </c>
      <c r="J4" s="144">
        <f>IF($B4="","",SUMPRODUCT((الطلاب!$Q$4:$Q$2000=$B4)*(الطلاب!$B$4:$B$2000&lt;&gt;"")/COUNTIFS(الطلاب!$Q$4:$Q$2000,الطلاب!$Q$4:$Q$2000&amp;"",الطلاب!$B$4:$B$2000,الطلاب!$B$4:$B$2000&amp;"")))</f>
        <v>0</v>
      </c>
      <c r="K4" s="146">
        <f>IF($B4="","",ROUND(SUMIF(الطلاب!$Q:$Q,$B4,الطلاب!$Y:$Y),1))</f>
        <v>0</v>
      </c>
      <c r="L4" s="148">
        <f>IF($B4="","",ROUND(SUMIF(الطلاب!$Q:$Q,$B4,الطلاب!$AH:$AH),3))</f>
        <v>0</v>
      </c>
      <c r="M4" s="39"/>
      <c r="N4" s="148">
        <f>IF($B4="","",ROUND($L4-IF($M4="",0,$M4),3))</f>
        <v>0</v>
      </c>
      <c r="O4" s="148">
        <f>IF($B4="","",ROUND(SUMIFS('الحركات المالية'!$F:$F,'الحركات المالية'!$C:$C,"دفعة معلم",'الحركات المالية'!$D:$D,$B4),3))</f>
        <v>0</v>
      </c>
      <c r="P4" s="148">
        <f>IF($B4="","",ROUND($N4-$O4,3))</f>
        <v>0</v>
      </c>
      <c r="Q4" s="36"/>
    </row>
    <row r="5" spans="1:17" x14ac:dyDescent="0.25">
      <c r="A5" s="141" t="str">
        <f>IF($B5="","","TCH-"&amp;TEXT(ROW()-3,"0000"))</f>
        <v>TCH-0002</v>
      </c>
      <c r="B5" s="36" t="s">
        <v>440</v>
      </c>
      <c r="C5" s="36" t="s">
        <v>205</v>
      </c>
      <c r="D5" s="151" t="s">
        <v>507</v>
      </c>
      <c r="E5" s="36" t="s">
        <v>107</v>
      </c>
      <c r="F5" s="36"/>
      <c r="G5" s="36" t="s">
        <v>149</v>
      </c>
      <c r="H5" s="141"/>
      <c r="I5" s="144">
        <f>IF($B5="","",COUNTIF(الطلاب!$Q:$Q,$B5))</f>
        <v>0</v>
      </c>
      <c r="J5" s="144">
        <f>IF($B5="","",SUMPRODUCT((الطلاب!$Q$4:$Q$2000=$B5)*(الطلاب!$B$4:$B$2000&lt;&gt;"")/COUNTIFS(الطلاب!$Q$4:$Q$2000,الطلاب!$Q$4:$Q$2000&amp;"",الطلاب!$B$4:$B$2000,الطلاب!$B$4:$B$2000&amp;"")))</f>
        <v>0</v>
      </c>
      <c r="K5" s="146">
        <f>IF($B5="","",ROUND(SUMIF(الطلاب!$Q:$Q,$B5,الطلاب!$Y:$Y),1))</f>
        <v>0</v>
      </c>
      <c r="L5" s="148">
        <f>IF($B5="","",ROUND(SUMIF(الطلاب!$Q:$Q,$B5,الطلاب!$AH:$AH),3))</f>
        <v>0</v>
      </c>
      <c r="M5" s="39"/>
      <c r="N5" s="148">
        <f>IF($B5="","",ROUND($L5-IF($M5="",0,$M5),3))</f>
        <v>0</v>
      </c>
      <c r="O5" s="148">
        <f>IF($B5="","",ROUND(SUMIFS('الحركات المالية'!$F:$F,'الحركات المالية'!$C:$C,"دفعة معلم",'الحركات المالية'!$D:$D,$B5),3))</f>
        <v>0</v>
      </c>
      <c r="P5" s="148">
        <f>IF($B5="","",ROUND($N5-$O5,3))</f>
        <v>0</v>
      </c>
      <c r="Q5" s="36"/>
    </row>
    <row r="6" spans="1:17" x14ac:dyDescent="0.25">
      <c r="A6" s="142" t="str">
        <f>IF($B6="","","TCH-"&amp;TEXT(ROW()-3,"0000"))</f>
        <v>TCH-0003</v>
      </c>
      <c r="B6" s="143" t="s">
        <v>427</v>
      </c>
      <c r="C6" s="143" t="s">
        <v>205</v>
      </c>
      <c r="D6" s="152" t="s">
        <v>494</v>
      </c>
      <c r="E6" s="143" t="s">
        <v>235</v>
      </c>
      <c r="F6" s="143"/>
      <c r="G6" s="143" t="s">
        <v>149</v>
      </c>
      <c r="H6" s="142"/>
      <c r="I6" s="145">
        <f>IF($B6="","",COUNTIF(الطلاب!$Q:$Q,$B6))</f>
        <v>0</v>
      </c>
      <c r="J6" s="145">
        <f>IF($B6="","",SUMPRODUCT((الطلاب!$Q$4:$Q$2000=$B6)*(الطلاب!$B$4:$B$2000&lt;&gt;"")/COUNTIFS(الطلاب!$Q$4:$Q$2000,الطلاب!$Q$4:$Q$2000&amp;"",الطلاب!$B$4:$B$2000,الطلاب!$B$4:$B$2000&amp;"")))</f>
        <v>0</v>
      </c>
      <c r="K6" s="147">
        <f>IF($B6="","",ROUND(SUMIF(الطلاب!$Q:$Q,$B6,الطلاب!$Y:$Y),1))</f>
        <v>0</v>
      </c>
      <c r="L6" s="149">
        <f>IF($B6="","",ROUND(SUMIF(الطلاب!$Q:$Q,$B6,الطلاب!$AH:$AH),3))</f>
        <v>0</v>
      </c>
      <c r="M6" s="150"/>
      <c r="N6" s="149">
        <f>IF($B6="","",ROUND($L6-IF($M6="",0,$M6),3))</f>
        <v>0</v>
      </c>
      <c r="O6" s="149">
        <f>IF($B6="","",ROUND(SUMIFS('الحركات المالية'!$F:$F,'الحركات المالية'!$C:$C,"دفعة معلم",'الحركات المالية'!$D:$D,$B6),3))</f>
        <v>0</v>
      </c>
      <c r="P6" s="149">
        <f>IF($B6="","",ROUND($N6-$O6,3))</f>
        <v>0</v>
      </c>
      <c r="Q6" s="143"/>
    </row>
    <row r="7" spans="1:17" x14ac:dyDescent="0.25">
      <c r="A7" s="142" t="str">
        <f>IF($B7="","","TCH-"&amp;TEXT(ROW()-3,"0000"))</f>
        <v>TCH-0004</v>
      </c>
      <c r="B7" s="143" t="s">
        <v>435</v>
      </c>
      <c r="C7" s="143" t="s">
        <v>90</v>
      </c>
      <c r="D7" s="152" t="s">
        <v>502</v>
      </c>
      <c r="E7" s="143"/>
      <c r="F7" s="143"/>
      <c r="G7" s="143" t="s">
        <v>149</v>
      </c>
      <c r="H7" s="142"/>
      <c r="I7" s="145">
        <f>IF($B7="","",COUNTIF(الطلاب!$Q:$Q,$B7))</f>
        <v>0</v>
      </c>
      <c r="J7" s="145">
        <f>IF($B7="","",SUMPRODUCT((الطلاب!$Q$4:$Q$2000=$B7)*(الطلاب!$B$4:$B$2000&lt;&gt;"")/COUNTIFS(الطلاب!$Q$4:$Q$2000,الطلاب!$Q$4:$Q$2000&amp;"",الطلاب!$B$4:$B$2000,الطلاب!$B$4:$B$2000&amp;"")))</f>
        <v>0</v>
      </c>
      <c r="K7" s="147">
        <f>IF($B7="","",ROUND(SUMIF(الطلاب!$Q:$Q,$B7,الطلاب!$Y:$Y),1))</f>
        <v>0</v>
      </c>
      <c r="L7" s="149">
        <f>IF($B7="","",ROUND(SUMIF(الطلاب!$Q:$Q,$B7,الطلاب!$AH:$AH),3))</f>
        <v>0</v>
      </c>
      <c r="M7" s="150"/>
      <c r="N7" s="149">
        <f>IF($B7="","",ROUND($L7-IF($M7="",0,$M7),3))</f>
        <v>0</v>
      </c>
      <c r="O7" s="149">
        <f>IF($B7="","",ROUND(SUMIFS('الحركات المالية'!$F:$F,'الحركات المالية'!$C:$C,"دفعة معلم",'الحركات المالية'!$D:$D,$B7),3))</f>
        <v>0</v>
      </c>
      <c r="P7" s="149">
        <f>IF($B7="","",ROUND($N7-$O7,3))</f>
        <v>0</v>
      </c>
      <c r="Q7" s="143"/>
    </row>
    <row r="8" spans="1:17" x14ac:dyDescent="0.25">
      <c r="A8" s="142" t="str">
        <f>IF($B8="","","TCH-"&amp;TEXT(ROW()-3,"0000"))</f>
        <v>TCH-0005</v>
      </c>
      <c r="B8" s="143" t="s">
        <v>421</v>
      </c>
      <c r="C8" s="143" t="s">
        <v>205</v>
      </c>
      <c r="D8" s="152" t="s">
        <v>488</v>
      </c>
      <c r="E8" s="143"/>
      <c r="F8" s="143"/>
      <c r="G8" s="143" t="s">
        <v>149</v>
      </c>
      <c r="H8" s="142"/>
      <c r="I8" s="145">
        <f>IF($B8="","",COUNTIF(الطلاب!$Q:$Q,$B8))</f>
        <v>0</v>
      </c>
      <c r="J8" s="145">
        <f>IF($B8="","",SUMPRODUCT((الطلاب!$Q$4:$Q$2000=$B8)*(الطلاب!$B$4:$B$2000&lt;&gt;"")/COUNTIFS(الطلاب!$Q$4:$Q$2000,الطلاب!$Q$4:$Q$2000&amp;"",الطلاب!$B$4:$B$2000,الطلاب!$B$4:$B$2000&amp;"")))</f>
        <v>0</v>
      </c>
      <c r="K8" s="147">
        <f>IF($B8="","",ROUND(SUMIF(الطلاب!$Q:$Q,$B8,الطلاب!$Y:$Y),1))</f>
        <v>0</v>
      </c>
      <c r="L8" s="149">
        <f>IF($B8="","",ROUND(SUMIF(الطلاب!$Q:$Q,$B8,الطلاب!$AH:$AH),3))</f>
        <v>0</v>
      </c>
      <c r="M8" s="150"/>
      <c r="N8" s="149">
        <f>IF($B8="","",ROUND($L8-IF($M8="",0,$M8),3))</f>
        <v>0</v>
      </c>
      <c r="O8" s="149">
        <f>IF($B8="","",ROUND(SUMIFS('الحركات المالية'!$F:$F,'الحركات المالية'!$C:$C,"دفعة معلم",'الحركات المالية'!$D:$D,$B8),3))</f>
        <v>0</v>
      </c>
      <c r="P8" s="149">
        <f>IF($B8="","",ROUND($N8-$O8,3))</f>
        <v>0</v>
      </c>
      <c r="Q8" s="143"/>
    </row>
    <row r="9" spans="1:17" x14ac:dyDescent="0.25">
      <c r="A9" s="142" t="str">
        <f>IF($B9="","","TCH-"&amp;TEXT(ROW()-3,"0000"))</f>
        <v>TCH-0006</v>
      </c>
      <c r="B9" s="143" t="s">
        <v>417</v>
      </c>
      <c r="C9" s="143" t="s">
        <v>460</v>
      </c>
      <c r="D9" s="152" t="s">
        <v>484</v>
      </c>
      <c r="E9" s="143" t="s">
        <v>86</v>
      </c>
      <c r="F9" s="143"/>
      <c r="G9" s="143" t="s">
        <v>149</v>
      </c>
      <c r="H9" s="142"/>
      <c r="I9" s="145">
        <f>IF($B9="","",COUNTIF(الطلاب!$Q:$Q,$B9))</f>
        <v>0</v>
      </c>
      <c r="J9" s="145">
        <f>IF($B9="","",SUMPRODUCT((الطلاب!$Q$4:$Q$2000=$B9)*(الطلاب!$B$4:$B$2000&lt;&gt;"")/COUNTIFS(الطلاب!$Q$4:$Q$2000,الطلاب!$Q$4:$Q$2000&amp;"",الطلاب!$B$4:$B$2000,الطلاب!$B$4:$B$2000&amp;"")))</f>
        <v>0</v>
      </c>
      <c r="K9" s="147">
        <f>IF($B9="","",ROUND(SUMIF(الطلاب!$Q:$Q,$B9,الطلاب!$Y:$Y),1))</f>
        <v>0</v>
      </c>
      <c r="L9" s="149">
        <f>IF($B9="","",ROUND(SUMIF(الطلاب!$Q:$Q,$B9,الطلاب!$AH:$AH),3))</f>
        <v>0</v>
      </c>
      <c r="M9" s="150"/>
      <c r="N9" s="149">
        <f>IF($B9="","",ROUND($L9-IF($M9="",0,$M9),3))</f>
        <v>0</v>
      </c>
      <c r="O9" s="149">
        <f>IF($B9="","",ROUND(SUMIFS('الحركات المالية'!$F:$F,'الحركات المالية'!$C:$C,"دفعة معلم",'الحركات المالية'!$D:$D,$B9),3))</f>
        <v>0</v>
      </c>
      <c r="P9" s="149">
        <f>IF($B9="","",ROUND($N9-$O9,3))</f>
        <v>0</v>
      </c>
      <c r="Q9" s="143"/>
    </row>
    <row r="10" spans="1:17" x14ac:dyDescent="0.25">
      <c r="A10" s="141" t="str">
        <f>IF($B10="","","TCH-"&amp;TEXT(ROW()-3,"0000"))</f>
        <v>TCH-0007</v>
      </c>
      <c r="B10" s="36" t="s">
        <v>428</v>
      </c>
      <c r="C10" s="36" t="s">
        <v>464</v>
      </c>
      <c r="D10" s="151" t="s">
        <v>495</v>
      </c>
      <c r="E10" s="36" t="s">
        <v>128</v>
      </c>
      <c r="F10" s="36"/>
      <c r="G10" s="36" t="s">
        <v>149</v>
      </c>
      <c r="H10" s="141"/>
      <c r="I10" s="144">
        <f>IF($B10="","",COUNTIF(الطلاب!$Q:$Q,$B10))</f>
        <v>0</v>
      </c>
      <c r="J10" s="144">
        <f>IF($B10="","",SUMPRODUCT((الطلاب!$Q$4:$Q$2000=$B10)*(الطلاب!$B$4:$B$2000&lt;&gt;"")/COUNTIFS(الطلاب!$Q$4:$Q$2000,الطلاب!$Q$4:$Q$2000&amp;"",الطلاب!$B$4:$B$2000,الطلاب!$B$4:$B$2000&amp;"")))</f>
        <v>0</v>
      </c>
      <c r="K10" s="146">
        <f>IF($B10="","",ROUND(SUMIF(الطلاب!$Q:$Q,$B10,الطلاب!$Y:$Y),1))</f>
        <v>0</v>
      </c>
      <c r="L10" s="148">
        <f>IF($B10="","",ROUND(SUMIF(الطلاب!$Q:$Q,$B10,الطلاب!$AH:$AH),3))</f>
        <v>0</v>
      </c>
      <c r="M10" s="39"/>
      <c r="N10" s="148">
        <f>IF($B10="","",ROUND($L10-IF($M10="",0,$M10),3))</f>
        <v>0</v>
      </c>
      <c r="O10" s="148">
        <f>IF($B10="","",ROUND(SUMIFS('الحركات المالية'!$F:$F,'الحركات المالية'!$C:$C,"دفعة معلم",'الحركات المالية'!$D:$D,$B10),3))</f>
        <v>0</v>
      </c>
      <c r="P10" s="148">
        <f>IF($B10="","",ROUND($N10-$O10,3))</f>
        <v>0</v>
      </c>
      <c r="Q10" s="36"/>
    </row>
    <row r="11" spans="1:17" x14ac:dyDescent="0.25">
      <c r="A11" s="142" t="str">
        <f>IF($B11="","","TCH-"&amp;TEXT(ROW()-3,"0000"))</f>
        <v>TCH-0008</v>
      </c>
      <c r="B11" s="143" t="s">
        <v>401</v>
      </c>
      <c r="C11" s="143" t="s">
        <v>454</v>
      </c>
      <c r="D11" s="152" t="s">
        <v>468</v>
      </c>
      <c r="E11" s="143" t="s">
        <v>86</v>
      </c>
      <c r="F11" s="143"/>
      <c r="G11" s="143" t="s">
        <v>149</v>
      </c>
      <c r="H11" s="142"/>
      <c r="I11" s="145">
        <f>IF($B11="","",COUNTIF(الطلاب!$Q:$Q,$B11))</f>
        <v>0</v>
      </c>
      <c r="J11" s="145">
        <f>IF($B11="","",SUMPRODUCT((الطلاب!$Q$4:$Q$2000=$B11)*(الطلاب!$B$4:$B$2000&lt;&gt;"")/COUNTIFS(الطلاب!$Q$4:$Q$2000,الطلاب!$Q$4:$Q$2000&amp;"",الطلاب!$B$4:$B$2000,الطلاب!$B$4:$B$2000&amp;"")))</f>
        <v>0</v>
      </c>
      <c r="K11" s="147">
        <f>IF($B11="","",ROUND(SUMIF(الطلاب!$Q:$Q,$B11,الطلاب!$Y:$Y),1))</f>
        <v>0</v>
      </c>
      <c r="L11" s="149">
        <f>IF($B11="","",ROUND(SUMIF(الطلاب!$Q:$Q,$B11,الطلاب!$AH:$AH),3))</f>
        <v>0</v>
      </c>
      <c r="M11" s="150"/>
      <c r="N11" s="149">
        <f>IF($B11="","",ROUND($L11-IF($M11="",0,$M11),3))</f>
        <v>0</v>
      </c>
      <c r="O11" s="149">
        <f>IF($B11="","",ROUND(SUMIFS('الحركات المالية'!$F:$F,'الحركات المالية'!$C:$C,"دفعة معلم",'الحركات المالية'!$D:$D,$B11),3))</f>
        <v>0</v>
      </c>
      <c r="P11" s="149">
        <f>IF($B11="","",ROUND($N11-$O11,3))</f>
        <v>0</v>
      </c>
      <c r="Q11" s="143"/>
    </row>
    <row r="12" spans="1:17" x14ac:dyDescent="0.25">
      <c r="A12" s="142" t="str">
        <f>IF($B12="","","TCH-"&amp;TEXT(ROW()-3,"0000"))</f>
        <v>TCH-0009</v>
      </c>
      <c r="B12" s="143" t="s">
        <v>451</v>
      </c>
      <c r="C12" s="143" t="s">
        <v>242</v>
      </c>
      <c r="D12" s="152" t="s">
        <v>518</v>
      </c>
      <c r="E12" s="143"/>
      <c r="F12" s="143"/>
      <c r="G12" s="143" t="s">
        <v>149</v>
      </c>
      <c r="H12" s="142"/>
      <c r="I12" s="145">
        <f>IF($B12="","",COUNTIF(الطلاب!$Q:$Q,$B12))</f>
        <v>0</v>
      </c>
      <c r="J12" s="145">
        <f>IF($B12="","",SUMPRODUCT((الطلاب!$Q$4:$Q$2000=$B12)*(الطلاب!$B$4:$B$2000&lt;&gt;"")/COUNTIFS(الطلاب!$Q$4:$Q$2000,الطلاب!$Q$4:$Q$2000&amp;"",الطلاب!$B$4:$B$2000,الطلاب!$B$4:$B$2000&amp;"")))</f>
        <v>0</v>
      </c>
      <c r="K12" s="147">
        <f>IF($B12="","",ROUND(SUMIF(الطلاب!$Q:$Q,$B12,الطلاب!$Y:$Y),1))</f>
        <v>0</v>
      </c>
      <c r="L12" s="149">
        <f>IF($B12="","",ROUND(SUMIF(الطلاب!$Q:$Q,$B12,الطلاب!$AH:$AH),3))</f>
        <v>0</v>
      </c>
      <c r="M12" s="150"/>
      <c r="N12" s="149">
        <f>IF($B12="","",ROUND($L12-IF($M12="",0,$M12),3))</f>
        <v>0</v>
      </c>
      <c r="O12" s="149">
        <f>IF($B12="","",ROUND(SUMIFS('الحركات المالية'!$F:$F,'الحركات المالية'!$C:$C,"دفعة معلم",'الحركات المالية'!$D:$D,$B12),3))</f>
        <v>0</v>
      </c>
      <c r="P12" s="149">
        <f>IF($B12="","",ROUND($N12-$O12,3))</f>
        <v>0</v>
      </c>
      <c r="Q12" s="143"/>
    </row>
    <row r="13" spans="1:17" x14ac:dyDescent="0.25">
      <c r="A13" s="141" t="str">
        <f>IF($B13="","","TCH-"&amp;TEXT(ROW()-3,"0000"))</f>
        <v>TCH-0010</v>
      </c>
      <c r="B13" s="36" t="s">
        <v>434</v>
      </c>
      <c r="C13" s="36" t="s">
        <v>205</v>
      </c>
      <c r="D13" s="151" t="s">
        <v>501</v>
      </c>
      <c r="E13" s="36" t="s">
        <v>522</v>
      </c>
      <c r="F13" s="36"/>
      <c r="G13" s="36" t="s">
        <v>149</v>
      </c>
      <c r="H13" s="141"/>
      <c r="I13" s="144">
        <f>IF($B13="","",COUNTIF(الطلاب!$Q:$Q,$B13))</f>
        <v>0</v>
      </c>
      <c r="J13" s="144">
        <f>IF($B13="","",SUMPRODUCT((الطلاب!$Q$4:$Q$2000=$B13)*(الطلاب!$B$4:$B$2000&lt;&gt;"")/COUNTIFS(الطلاب!$Q$4:$Q$2000,الطلاب!$Q$4:$Q$2000&amp;"",الطلاب!$B$4:$B$2000,الطلاب!$B$4:$B$2000&amp;"")))</f>
        <v>0</v>
      </c>
      <c r="K13" s="146">
        <f>IF($B13="","",ROUND(SUMIF(الطلاب!$Q:$Q,$B13,الطلاب!$Y:$Y),1))</f>
        <v>0</v>
      </c>
      <c r="L13" s="148">
        <f>IF($B13="","",ROUND(SUMIF(الطلاب!$Q:$Q,$B13,الطلاب!$AH:$AH),3))</f>
        <v>0</v>
      </c>
      <c r="M13" s="39"/>
      <c r="N13" s="148">
        <f>IF($B13="","",ROUND($L13-IF($M13="",0,$M13),3))</f>
        <v>0</v>
      </c>
      <c r="O13" s="148">
        <f>IF($B13="","",ROUND(SUMIFS('الحركات المالية'!$F:$F,'الحركات المالية'!$C:$C,"دفعة معلم",'الحركات المالية'!$D:$D,$B13),3))</f>
        <v>0</v>
      </c>
      <c r="P13" s="148">
        <f>IF($B13="","",ROUND($N13-$O13,3))</f>
        <v>0</v>
      </c>
      <c r="Q13" s="36" t="s">
        <v>525</v>
      </c>
    </row>
    <row r="14" spans="1:17" x14ac:dyDescent="0.25">
      <c r="A14" s="141" t="str">
        <f>IF($B14="","","TCH-"&amp;TEXT(ROW()-3,"0000"))</f>
        <v>TCH-0011</v>
      </c>
      <c r="B14" s="36" t="s">
        <v>448</v>
      </c>
      <c r="C14" s="36" t="s">
        <v>239</v>
      </c>
      <c r="D14" s="151" t="s">
        <v>515</v>
      </c>
      <c r="E14" s="36" t="s">
        <v>86</v>
      </c>
      <c r="F14" s="36"/>
      <c r="G14" s="36" t="s">
        <v>149</v>
      </c>
      <c r="H14" s="141"/>
      <c r="I14" s="144">
        <f>IF($B14="","",COUNTIF(الطلاب!$Q:$Q,$B14))</f>
        <v>0</v>
      </c>
      <c r="J14" s="144">
        <f>IF($B14="","",SUMPRODUCT((الطلاب!$Q$4:$Q$2000=$B14)*(الطلاب!$B$4:$B$2000&lt;&gt;"")/COUNTIFS(الطلاب!$Q$4:$Q$2000,الطلاب!$Q$4:$Q$2000&amp;"",الطلاب!$B$4:$B$2000,الطلاب!$B$4:$B$2000&amp;"")))</f>
        <v>0</v>
      </c>
      <c r="K14" s="146">
        <f>IF($B14="","",ROUND(SUMIF(الطلاب!$Q:$Q,$B14,الطلاب!$Y:$Y),1))</f>
        <v>0</v>
      </c>
      <c r="L14" s="148">
        <f>IF($B14="","",ROUND(SUMIF(الطلاب!$Q:$Q,$B14,الطلاب!$AH:$AH),3))</f>
        <v>0</v>
      </c>
      <c r="M14" s="39"/>
      <c r="N14" s="148">
        <f>IF($B14="","",ROUND($L14-IF($M14="",0,$M14),3))</f>
        <v>0</v>
      </c>
      <c r="O14" s="148">
        <f>IF($B14="","",ROUND(SUMIFS('الحركات المالية'!$F:$F,'الحركات المالية'!$C:$C,"دفعة معلم",'الحركات المالية'!$D:$D,$B14),3))</f>
        <v>0</v>
      </c>
      <c r="P14" s="148">
        <f>IF($B14="","",ROUND($N14-$O14,3))</f>
        <v>0</v>
      </c>
      <c r="Q14" s="36"/>
    </row>
    <row r="15" spans="1:17" x14ac:dyDescent="0.25">
      <c r="A15" s="142" t="str">
        <f>IF($B15="","","TCH-"&amp;TEXT(ROW()-3,"0000"))</f>
        <v>TCH-0012</v>
      </c>
      <c r="B15" s="143" t="s">
        <v>431</v>
      </c>
      <c r="C15" s="143" t="s">
        <v>90</v>
      </c>
      <c r="D15" s="152" t="s">
        <v>498</v>
      </c>
      <c r="E15" s="143" t="s">
        <v>128</v>
      </c>
      <c r="F15" s="143"/>
      <c r="G15" s="143" t="s">
        <v>149</v>
      </c>
      <c r="H15" s="142"/>
      <c r="I15" s="145">
        <f>IF($B15="","",COUNTIF(الطلاب!$Q:$Q,$B15))</f>
        <v>0</v>
      </c>
      <c r="J15" s="145">
        <f>IF($B15="","",SUMPRODUCT((الطلاب!$Q$4:$Q$2000=$B15)*(الطلاب!$B$4:$B$2000&lt;&gt;"")/COUNTIFS(الطلاب!$Q$4:$Q$2000,الطلاب!$Q$4:$Q$2000&amp;"",الطلاب!$B$4:$B$2000,الطلاب!$B$4:$B$2000&amp;"")))</f>
        <v>0</v>
      </c>
      <c r="K15" s="147">
        <f>IF($B15="","",ROUND(SUMIF(الطلاب!$Q:$Q,$B15,الطلاب!$Y:$Y),1))</f>
        <v>0</v>
      </c>
      <c r="L15" s="149">
        <f>IF($B15="","",ROUND(SUMIF(الطلاب!$Q:$Q,$B15,الطلاب!$AH:$AH),3))</f>
        <v>0</v>
      </c>
      <c r="M15" s="150"/>
      <c r="N15" s="149">
        <f>IF($B15="","",ROUND($L15-IF($M15="",0,$M15),3))</f>
        <v>0</v>
      </c>
      <c r="O15" s="149">
        <f>IF($B15="","",ROUND(SUMIFS('الحركات المالية'!$F:$F,'الحركات المالية'!$C:$C,"دفعة معلم",'الحركات المالية'!$D:$D,$B15),3))</f>
        <v>0</v>
      </c>
      <c r="P15" s="149">
        <f>IF($B15="","",ROUND($N15-$O15,3))</f>
        <v>0</v>
      </c>
      <c r="Q15" s="143"/>
    </row>
    <row r="16" spans="1:17" x14ac:dyDescent="0.25">
      <c r="A16" s="142" t="str">
        <f>IF($B16="","","TCH-"&amp;TEXT(ROW()-3,"0000"))</f>
        <v>TCH-0013</v>
      </c>
      <c r="B16" s="143" t="s">
        <v>405</v>
      </c>
      <c r="C16" s="143" t="s">
        <v>205</v>
      </c>
      <c r="D16" s="152" t="s">
        <v>472</v>
      </c>
      <c r="E16" s="143" t="s">
        <v>520</v>
      </c>
      <c r="F16" s="143"/>
      <c r="G16" s="143" t="s">
        <v>149</v>
      </c>
      <c r="H16" s="142"/>
      <c r="I16" s="145">
        <f>IF($B16="","",COUNTIF(الطلاب!$Q:$Q,$B16))</f>
        <v>0</v>
      </c>
      <c r="J16" s="145">
        <f>IF($B16="","",SUMPRODUCT((الطلاب!$Q$4:$Q$2000=$B16)*(الطلاب!$B$4:$B$2000&lt;&gt;"")/COUNTIFS(الطلاب!$Q$4:$Q$2000,الطلاب!$Q$4:$Q$2000&amp;"",الطلاب!$B$4:$B$2000,الطلاب!$B$4:$B$2000&amp;"")))</f>
        <v>0</v>
      </c>
      <c r="K16" s="147">
        <f>IF($B16="","",ROUND(SUMIF(الطلاب!$Q:$Q,$B16,الطلاب!$Y:$Y),1))</f>
        <v>0</v>
      </c>
      <c r="L16" s="149">
        <f>IF($B16="","",ROUND(SUMIF(الطلاب!$Q:$Q,$B16,الطلاب!$AH:$AH),3))</f>
        <v>0</v>
      </c>
      <c r="M16" s="150"/>
      <c r="N16" s="149">
        <f>IF($B16="","",ROUND($L16-IF($M16="",0,$M16),3))</f>
        <v>0</v>
      </c>
      <c r="O16" s="149">
        <f>IF($B16="","",ROUND(SUMIFS('الحركات المالية'!$F:$F,'الحركات المالية'!$C:$C,"دفعة معلم",'الحركات المالية'!$D:$D,$B16),3))</f>
        <v>0</v>
      </c>
      <c r="P16" s="149">
        <f>IF($B16="","",ROUND($N16-$O16,3))</f>
        <v>0</v>
      </c>
      <c r="Q16" s="143"/>
    </row>
    <row r="17" spans="1:17" x14ac:dyDescent="0.25">
      <c r="A17" s="141" t="str">
        <f>IF($B17="","","TCH-"&amp;TEXT(ROW()-3,"0000"))</f>
        <v>TCH-0014</v>
      </c>
      <c r="B17" s="36" t="s">
        <v>438</v>
      </c>
      <c r="C17" s="36" t="s">
        <v>464</v>
      </c>
      <c r="D17" s="151" t="s">
        <v>505</v>
      </c>
      <c r="E17" s="36"/>
      <c r="F17" s="36"/>
      <c r="G17" s="36" t="s">
        <v>149</v>
      </c>
      <c r="H17" s="141"/>
      <c r="I17" s="144">
        <f>IF($B17="","",COUNTIF(الطلاب!$Q:$Q,$B17))</f>
        <v>0</v>
      </c>
      <c r="J17" s="144">
        <f>IF($B17="","",SUMPRODUCT((الطلاب!$Q$4:$Q$2000=$B17)*(الطلاب!$B$4:$B$2000&lt;&gt;"")/COUNTIFS(الطلاب!$Q$4:$Q$2000,الطلاب!$Q$4:$Q$2000&amp;"",الطلاب!$B$4:$B$2000,الطلاب!$B$4:$B$2000&amp;"")))</f>
        <v>0</v>
      </c>
      <c r="K17" s="146">
        <f>IF($B17="","",ROUND(SUMIF(الطلاب!$Q:$Q,$B17,الطلاب!$Y:$Y),1))</f>
        <v>0</v>
      </c>
      <c r="L17" s="148">
        <f>IF($B17="","",ROUND(SUMIF(الطلاب!$Q:$Q,$B17,الطلاب!$AH:$AH),3))</f>
        <v>0</v>
      </c>
      <c r="M17" s="39"/>
      <c r="N17" s="148">
        <f>IF($B17="","",ROUND($L17-IF($M17="",0,$M17),3))</f>
        <v>0</v>
      </c>
      <c r="O17" s="148">
        <f>IF($B17="","",ROUND(SUMIFS('الحركات المالية'!$F:$F,'الحركات المالية'!$C:$C,"دفعة معلم",'الحركات المالية'!$D:$D,$B17),3))</f>
        <v>0</v>
      </c>
      <c r="P17" s="148">
        <f>IF($B17="","",ROUND($N17-$O17,3))</f>
        <v>0</v>
      </c>
      <c r="Q17" s="36"/>
    </row>
    <row r="18" spans="1:17" x14ac:dyDescent="0.25">
      <c r="A18" s="141" t="str">
        <f>IF($B18="","","TCH-"&amp;TEXT(ROW()-3,"0000"))</f>
        <v>TCH-0015</v>
      </c>
      <c r="B18" s="36" t="s">
        <v>412</v>
      </c>
      <c r="C18" s="36" t="s">
        <v>458</v>
      </c>
      <c r="D18" s="151" t="s">
        <v>479</v>
      </c>
      <c r="E18" s="36" t="s">
        <v>86</v>
      </c>
      <c r="F18" s="36"/>
      <c r="G18" s="36" t="s">
        <v>149</v>
      </c>
      <c r="H18" s="141"/>
      <c r="I18" s="144">
        <f>IF($B18="","",COUNTIF(الطلاب!$Q:$Q,$B18))</f>
        <v>0</v>
      </c>
      <c r="J18" s="144">
        <f>IF($B18="","",SUMPRODUCT((الطلاب!$Q$4:$Q$2000=$B18)*(الطلاب!$B$4:$B$2000&lt;&gt;"")/COUNTIFS(الطلاب!$Q$4:$Q$2000,الطلاب!$Q$4:$Q$2000&amp;"",الطلاب!$B$4:$B$2000,الطلاب!$B$4:$B$2000&amp;"")))</f>
        <v>0</v>
      </c>
      <c r="K18" s="146">
        <f>IF($B18="","",ROUND(SUMIF(الطلاب!$Q:$Q,$B18,الطلاب!$Y:$Y),1))</f>
        <v>0</v>
      </c>
      <c r="L18" s="148">
        <f>IF($B18="","",ROUND(SUMIF(الطلاب!$Q:$Q,$B18,الطلاب!$AH:$AH),3))</f>
        <v>0</v>
      </c>
      <c r="M18" s="39"/>
      <c r="N18" s="148">
        <f>IF($B18="","",ROUND($L18-IF($M18="",0,$M18),3))</f>
        <v>0</v>
      </c>
      <c r="O18" s="148">
        <f>IF($B18="","",ROUND(SUMIFS('الحركات المالية'!$F:$F,'الحركات المالية'!$C:$C,"دفعة معلم",'الحركات المالية'!$D:$D,$B18),3))</f>
        <v>0</v>
      </c>
      <c r="P18" s="148">
        <f>IF($B18="","",ROUND($N18-$O18,3))</f>
        <v>0</v>
      </c>
      <c r="Q18" s="36" t="s">
        <v>523</v>
      </c>
    </row>
    <row r="19" spans="1:17" x14ac:dyDescent="0.25">
      <c r="A19" s="142" t="str">
        <f>IF($B19="","","TCH-"&amp;TEXT(ROW()-3,"0000"))</f>
        <v>TCH-0016</v>
      </c>
      <c r="B19" s="143" t="s">
        <v>423</v>
      </c>
      <c r="C19" s="143" t="s">
        <v>464</v>
      </c>
      <c r="D19" s="152" t="s">
        <v>490</v>
      </c>
      <c r="E19" s="143"/>
      <c r="F19" s="143"/>
      <c r="G19" s="143" t="s">
        <v>149</v>
      </c>
      <c r="H19" s="142"/>
      <c r="I19" s="145">
        <f>IF($B19="","",COUNTIF(الطلاب!$Q:$Q,$B19))</f>
        <v>0</v>
      </c>
      <c r="J19" s="145">
        <f>IF($B19="","",SUMPRODUCT((الطلاب!$Q$4:$Q$2000=$B19)*(الطلاب!$B$4:$B$2000&lt;&gt;"")/COUNTIFS(الطلاب!$Q$4:$Q$2000,الطلاب!$Q$4:$Q$2000&amp;"",الطلاب!$B$4:$B$2000,الطلاب!$B$4:$B$2000&amp;"")))</f>
        <v>0</v>
      </c>
      <c r="K19" s="147">
        <f>IF($B19="","",ROUND(SUMIF(الطلاب!$Q:$Q,$B19,الطلاب!$Y:$Y),1))</f>
        <v>0</v>
      </c>
      <c r="L19" s="149">
        <f>IF($B19="","",ROUND(SUMIF(الطلاب!$Q:$Q,$B19,الطلاب!$AH:$AH),3))</f>
        <v>0</v>
      </c>
      <c r="M19" s="150"/>
      <c r="N19" s="149">
        <f>IF($B19="","",ROUND($L19-IF($M19="",0,$M19),3))</f>
        <v>0</v>
      </c>
      <c r="O19" s="149">
        <f>IF($B19="","",ROUND(SUMIFS('الحركات المالية'!$F:$F,'الحركات المالية'!$C:$C,"دفعة معلم",'الحركات المالية'!$D:$D,$B19),3))</f>
        <v>0</v>
      </c>
      <c r="P19" s="149">
        <f>IF($B19="","",ROUND($N19-$O19,3))</f>
        <v>0</v>
      </c>
      <c r="Q19" s="143"/>
    </row>
    <row r="20" spans="1:17" x14ac:dyDescent="0.25">
      <c r="A20" s="141" t="str">
        <f>IF($B20="","","TCH-"&amp;TEXT(ROW()-3,"0000"))</f>
        <v>TCH-0017</v>
      </c>
      <c r="B20" s="36" t="s">
        <v>414</v>
      </c>
      <c r="C20" s="36" t="s">
        <v>90</v>
      </c>
      <c r="D20" s="151" t="s">
        <v>481</v>
      </c>
      <c r="E20" s="36" t="s">
        <v>107</v>
      </c>
      <c r="F20" s="36"/>
      <c r="G20" s="36" t="s">
        <v>149</v>
      </c>
      <c r="H20" s="141"/>
      <c r="I20" s="144">
        <f>IF($B20="","",COUNTIF(الطلاب!$Q:$Q,$B20))</f>
        <v>0</v>
      </c>
      <c r="J20" s="144">
        <f>IF($B20="","",SUMPRODUCT((الطلاب!$Q$4:$Q$2000=$B20)*(الطلاب!$B$4:$B$2000&lt;&gt;"")/COUNTIFS(الطلاب!$Q$4:$Q$2000,الطلاب!$Q$4:$Q$2000&amp;"",الطلاب!$B$4:$B$2000,الطلاب!$B$4:$B$2000&amp;"")))</f>
        <v>0</v>
      </c>
      <c r="K20" s="146">
        <f>IF($B20="","",ROUND(SUMIF(الطلاب!$Q:$Q,$B20,الطلاب!$Y:$Y),1))</f>
        <v>0</v>
      </c>
      <c r="L20" s="148">
        <f>IF($B20="","",ROUND(SUMIF(الطلاب!$Q:$Q,$B20,الطلاب!$AH:$AH),3))</f>
        <v>0</v>
      </c>
      <c r="M20" s="39"/>
      <c r="N20" s="148">
        <f>IF($B20="","",ROUND($L20-IF($M20="",0,$M20),3))</f>
        <v>0</v>
      </c>
      <c r="O20" s="148">
        <f>IF($B20="","",ROUND(SUMIFS('الحركات المالية'!$F:$F,'الحركات المالية'!$C:$C,"دفعة معلم",'الحركات المالية'!$D:$D,$B20),3))</f>
        <v>0</v>
      </c>
      <c r="P20" s="148">
        <f>IF($B20="","",ROUND($N20-$O20,3))</f>
        <v>0</v>
      </c>
      <c r="Q20" s="36"/>
    </row>
    <row r="21" spans="1:17" x14ac:dyDescent="0.25">
      <c r="A21" s="142" t="str">
        <f>IF($B21="","","TCH-"&amp;TEXT(ROW()-3,"0000"))</f>
        <v>TCH-0018</v>
      </c>
      <c r="B21" s="143" t="s">
        <v>443</v>
      </c>
      <c r="C21" s="143" t="s">
        <v>456</v>
      </c>
      <c r="D21" s="152" t="s">
        <v>510</v>
      </c>
      <c r="E21" s="143"/>
      <c r="F21" s="143"/>
      <c r="G21" s="143" t="s">
        <v>149</v>
      </c>
      <c r="H21" s="142"/>
      <c r="I21" s="145">
        <f>IF($B21="","",COUNTIF(الطلاب!$Q:$Q,$B21))</f>
        <v>0</v>
      </c>
      <c r="J21" s="145">
        <f>IF($B21="","",SUMPRODUCT((الطلاب!$Q$4:$Q$2000=$B21)*(الطلاب!$B$4:$B$2000&lt;&gt;"")/COUNTIFS(الطلاب!$Q$4:$Q$2000,الطلاب!$Q$4:$Q$2000&amp;"",الطلاب!$B$4:$B$2000,الطلاب!$B$4:$B$2000&amp;"")))</f>
        <v>0</v>
      </c>
      <c r="K21" s="147">
        <f>IF($B21="","",ROUND(SUMIF(الطلاب!$Q:$Q,$B21,الطلاب!$Y:$Y),1))</f>
        <v>0</v>
      </c>
      <c r="L21" s="149">
        <f>IF($B21="","",ROUND(SUMIF(الطلاب!$Q:$Q,$B21,الطلاب!$AH:$AH),3))</f>
        <v>0</v>
      </c>
      <c r="M21" s="150"/>
      <c r="N21" s="149">
        <f>IF($B21="","",ROUND($L21-IF($M21="",0,$M21),3))</f>
        <v>0</v>
      </c>
      <c r="O21" s="149">
        <f>IF($B21="","",ROUND(SUMIFS('الحركات المالية'!$F:$F,'الحركات المالية'!$C:$C,"دفعة معلم",'الحركات المالية'!$D:$D,$B21),3))</f>
        <v>0</v>
      </c>
      <c r="P21" s="149">
        <f>IF($B21="","",ROUND($N21-$O21,3))</f>
        <v>0</v>
      </c>
      <c r="Q21" s="143"/>
    </row>
    <row r="22" spans="1:17" x14ac:dyDescent="0.25">
      <c r="A22" s="141" t="str">
        <f>IF($B22="","","TCH-"&amp;TEXT(ROW()-3,"0000"))</f>
        <v>TCH-0019</v>
      </c>
      <c r="B22" s="36" t="s">
        <v>424</v>
      </c>
      <c r="C22" s="36" t="s">
        <v>453</v>
      </c>
      <c r="D22" s="151" t="s">
        <v>491</v>
      </c>
      <c r="E22" s="36" t="s">
        <v>107</v>
      </c>
      <c r="F22" s="36"/>
      <c r="G22" s="36" t="s">
        <v>149</v>
      </c>
      <c r="H22" s="141"/>
      <c r="I22" s="144">
        <f>IF($B22="","",COUNTIF(الطلاب!$Q:$Q,$B22))</f>
        <v>0</v>
      </c>
      <c r="J22" s="144">
        <f>IF($B22="","",SUMPRODUCT((الطلاب!$Q$4:$Q$2000=$B22)*(الطلاب!$B$4:$B$2000&lt;&gt;"")/COUNTIFS(الطلاب!$Q$4:$Q$2000,الطلاب!$Q$4:$Q$2000&amp;"",الطلاب!$B$4:$B$2000,الطلاب!$B$4:$B$2000&amp;"")))</f>
        <v>0</v>
      </c>
      <c r="K22" s="146">
        <f>IF($B22="","",ROUND(SUMIF(الطلاب!$Q:$Q,$B22,الطلاب!$Y:$Y),1))</f>
        <v>0</v>
      </c>
      <c r="L22" s="148">
        <f>IF($B22="","",ROUND(SUMIF(الطلاب!$Q:$Q,$B22,الطلاب!$AH:$AH),3))</f>
        <v>0</v>
      </c>
      <c r="M22" s="39"/>
      <c r="N22" s="148">
        <f>IF($B22="","",ROUND($L22-IF($M22="",0,$M22),3))</f>
        <v>0</v>
      </c>
      <c r="O22" s="148">
        <f>IF($B22="","",ROUND(SUMIFS('الحركات المالية'!$F:$F,'الحركات المالية'!$C:$C,"دفعة معلم",'الحركات المالية'!$D:$D,$B22),3))</f>
        <v>0</v>
      </c>
      <c r="P22" s="148">
        <f>IF($B22="","",ROUND($N22-$O22,3))</f>
        <v>0</v>
      </c>
      <c r="Q22" s="36"/>
    </row>
    <row r="23" spans="1:17" x14ac:dyDescent="0.25">
      <c r="A23" s="141" t="str">
        <f>IF($B23="","","TCH-"&amp;TEXT(ROW()-3,"0000"))</f>
        <v>TCH-0020</v>
      </c>
      <c r="B23" s="36" t="s">
        <v>402</v>
      </c>
      <c r="C23" s="36" t="s">
        <v>205</v>
      </c>
      <c r="D23" s="151" t="s">
        <v>469</v>
      </c>
      <c r="E23" s="36" t="s">
        <v>86</v>
      </c>
      <c r="F23" s="36"/>
      <c r="G23" s="36" t="s">
        <v>149</v>
      </c>
      <c r="H23" s="141"/>
      <c r="I23" s="144">
        <f>IF($B23="","",COUNTIF(الطلاب!$Q:$Q,$B23))</f>
        <v>0</v>
      </c>
      <c r="J23" s="144">
        <f>IF($B23="","",SUMPRODUCT((الطلاب!$Q$4:$Q$2000=$B23)*(الطلاب!$B$4:$B$2000&lt;&gt;"")/COUNTIFS(الطلاب!$Q$4:$Q$2000,الطلاب!$Q$4:$Q$2000&amp;"",الطلاب!$B$4:$B$2000,الطلاب!$B$4:$B$2000&amp;"")))</f>
        <v>0</v>
      </c>
      <c r="K23" s="146">
        <f>IF($B23="","",ROUND(SUMIF(الطلاب!$Q:$Q,$B23,الطلاب!$Y:$Y),1))</f>
        <v>0</v>
      </c>
      <c r="L23" s="148">
        <f>IF($B23="","",ROUND(SUMIF(الطلاب!$Q:$Q,$B23,الطلاب!$AH:$AH),3))</f>
        <v>0</v>
      </c>
      <c r="M23" s="39"/>
      <c r="N23" s="148">
        <f>IF($B23="","",ROUND($L23-IF($M23="",0,$M23),3))</f>
        <v>0</v>
      </c>
      <c r="O23" s="148">
        <f>IF($B23="","",ROUND(SUMIFS('الحركات المالية'!$F:$F,'الحركات المالية'!$C:$C,"دفعة معلم",'الحركات المالية'!$D:$D,$B23),3))</f>
        <v>0</v>
      </c>
      <c r="P23" s="148">
        <f>IF($B23="","",ROUND($N23-$O23,3))</f>
        <v>0</v>
      </c>
      <c r="Q23" s="36"/>
    </row>
    <row r="24" spans="1:17" x14ac:dyDescent="0.25">
      <c r="A24" s="142" t="str">
        <f>IF($B24="","","TCH-"&amp;TEXT(ROW()-3,"0000"))</f>
        <v>TCH-0021</v>
      </c>
      <c r="B24" s="143" t="s">
        <v>415</v>
      </c>
      <c r="C24" s="143" t="s">
        <v>455</v>
      </c>
      <c r="D24" s="152" t="s">
        <v>482</v>
      </c>
      <c r="E24" s="143"/>
      <c r="F24" s="143"/>
      <c r="G24" s="143" t="s">
        <v>149</v>
      </c>
      <c r="H24" s="142"/>
      <c r="I24" s="145">
        <f>IF($B24="","",COUNTIF(الطلاب!$Q:$Q,$B24))</f>
        <v>0</v>
      </c>
      <c r="J24" s="145">
        <f>IF($B24="","",SUMPRODUCT((الطلاب!$Q$4:$Q$2000=$B24)*(الطلاب!$B$4:$B$2000&lt;&gt;"")/COUNTIFS(الطلاب!$Q$4:$Q$2000,الطلاب!$Q$4:$Q$2000&amp;"",الطلاب!$B$4:$B$2000,الطلاب!$B$4:$B$2000&amp;"")))</f>
        <v>0</v>
      </c>
      <c r="K24" s="147">
        <f>IF($B24="","",ROUND(SUMIF(الطلاب!$Q:$Q,$B24,الطلاب!$Y:$Y),1))</f>
        <v>0</v>
      </c>
      <c r="L24" s="149">
        <f>IF($B24="","",ROUND(SUMIF(الطلاب!$Q:$Q,$B24,الطلاب!$AH:$AH),3))</f>
        <v>0</v>
      </c>
      <c r="M24" s="150"/>
      <c r="N24" s="149">
        <f>IF($B24="","",ROUND($L24-IF($M24="",0,$M24),3))</f>
        <v>0</v>
      </c>
      <c r="O24" s="149">
        <f>IF($B24="","",ROUND(SUMIFS('الحركات المالية'!$F:$F,'الحركات المالية'!$C:$C,"دفعة معلم",'الحركات المالية'!$D:$D,$B24),3))</f>
        <v>0</v>
      </c>
      <c r="P24" s="149">
        <f>IF($B24="","",ROUND($N24-$O24,3))</f>
        <v>0</v>
      </c>
      <c r="Q24" s="143"/>
    </row>
    <row r="25" spans="1:17" x14ac:dyDescent="0.25">
      <c r="A25" s="141" t="str">
        <f>IF($B25="","","TCH-"&amp;TEXT(ROW()-3,"0000"))</f>
        <v>TCH-0022</v>
      </c>
      <c r="B25" s="36" t="s">
        <v>426</v>
      </c>
      <c r="C25" s="36" t="s">
        <v>90</v>
      </c>
      <c r="D25" s="151" t="s">
        <v>493</v>
      </c>
      <c r="E25" s="36" t="s">
        <v>107</v>
      </c>
      <c r="F25" s="36"/>
      <c r="G25" s="36" t="s">
        <v>149</v>
      </c>
      <c r="H25" s="141"/>
      <c r="I25" s="144">
        <f>IF($B25="","",COUNTIF(الطلاب!$Q:$Q,$B25))</f>
        <v>0</v>
      </c>
      <c r="J25" s="144">
        <f>IF($B25="","",SUMPRODUCT((الطلاب!$Q$4:$Q$2000=$B25)*(الطلاب!$B$4:$B$2000&lt;&gt;"")/COUNTIFS(الطلاب!$Q$4:$Q$2000,الطلاب!$Q$4:$Q$2000&amp;"",الطلاب!$B$4:$B$2000,الطلاب!$B$4:$B$2000&amp;"")))</f>
        <v>0</v>
      </c>
      <c r="K25" s="146">
        <f>IF($B25="","",ROUND(SUMIF(الطلاب!$Q:$Q,$B25,الطلاب!$Y:$Y),1))</f>
        <v>0</v>
      </c>
      <c r="L25" s="148">
        <f>IF($B25="","",ROUND(SUMIF(الطلاب!$Q:$Q,$B25,الطلاب!$AH:$AH),3))</f>
        <v>0</v>
      </c>
      <c r="M25" s="39"/>
      <c r="N25" s="148">
        <f>IF($B25="","",ROUND($L25-IF($M25="",0,$M25),3))</f>
        <v>0</v>
      </c>
      <c r="O25" s="148">
        <f>IF($B25="","",ROUND(SUMIFS('الحركات المالية'!$F:$F,'الحركات المالية'!$C:$C,"دفعة معلم",'الحركات المالية'!$D:$D,$B25),3))</f>
        <v>0</v>
      </c>
      <c r="P25" s="148">
        <f>IF($B25="","",ROUND($N25-$O25,3))</f>
        <v>0</v>
      </c>
      <c r="Q25" s="36"/>
    </row>
    <row r="26" spans="1:17" x14ac:dyDescent="0.25">
      <c r="A26" s="142" t="str">
        <f>IF($B26="","","TCH-"&amp;TEXT(ROW()-3,"0000"))</f>
        <v>TCH-0023</v>
      </c>
      <c r="B26" s="143" t="s">
        <v>407</v>
      </c>
      <c r="C26" s="143" t="s">
        <v>205</v>
      </c>
      <c r="D26" s="152" t="s">
        <v>474</v>
      </c>
      <c r="E26" s="143"/>
      <c r="F26" s="143"/>
      <c r="G26" s="143" t="s">
        <v>149</v>
      </c>
      <c r="H26" s="142"/>
      <c r="I26" s="145">
        <f>IF($B26="","",COUNTIF(الطلاب!$Q:$Q,$B26))</f>
        <v>0</v>
      </c>
      <c r="J26" s="145">
        <f>IF($B26="","",SUMPRODUCT((الطلاب!$Q$4:$Q$2000=$B26)*(الطلاب!$B$4:$B$2000&lt;&gt;"")/COUNTIFS(الطلاب!$Q$4:$Q$2000,الطلاب!$Q$4:$Q$2000&amp;"",الطلاب!$B$4:$B$2000,الطلاب!$B$4:$B$2000&amp;"")))</f>
        <v>0</v>
      </c>
      <c r="K26" s="147">
        <f>IF($B26="","",ROUND(SUMIF(الطلاب!$Q:$Q,$B26,الطلاب!$Y:$Y),1))</f>
        <v>0</v>
      </c>
      <c r="L26" s="149">
        <f>IF($B26="","",ROUND(SUMIF(الطلاب!$Q:$Q,$B26,الطلاب!$AH:$AH),3))</f>
        <v>0</v>
      </c>
      <c r="M26" s="150"/>
      <c r="N26" s="149">
        <f>IF($B26="","",ROUND($L26-IF($M26="",0,$M26),3))</f>
        <v>0</v>
      </c>
      <c r="O26" s="149">
        <f>IF($B26="","",ROUND(SUMIFS('الحركات المالية'!$F:$F,'الحركات المالية'!$C:$C,"دفعة معلم",'الحركات المالية'!$D:$D,$B26),3))</f>
        <v>0</v>
      </c>
      <c r="P26" s="149">
        <f>IF($B26="","",ROUND($N26-$O26,3))</f>
        <v>0</v>
      </c>
      <c r="Q26" s="143"/>
    </row>
    <row r="27" spans="1:17" x14ac:dyDescent="0.25">
      <c r="A27" s="141" t="str">
        <f>IF($B27="","","TCH-"&amp;TEXT(ROW()-3,"0000"))</f>
        <v>TCH-0024</v>
      </c>
      <c r="B27" s="169" t="s">
        <v>400</v>
      </c>
      <c r="C27" s="36" t="s">
        <v>453</v>
      </c>
      <c r="D27" s="151" t="s">
        <v>467</v>
      </c>
      <c r="E27" s="36" t="s">
        <v>86</v>
      </c>
      <c r="F27" s="36"/>
      <c r="G27" s="36" t="s">
        <v>149</v>
      </c>
      <c r="H27" s="141"/>
      <c r="I27" s="144">
        <f>IF($B27="","",COUNTIF(الطلاب!$Q:$Q,$B27))</f>
        <v>0</v>
      </c>
      <c r="J27" s="144">
        <f>IF($B27="","",SUMPRODUCT((الطلاب!$Q$4:$Q$2000=$B27)*(الطلاب!$B$4:$B$2000&lt;&gt;"")/COUNTIFS(الطلاب!$Q$4:$Q$2000,الطلاب!$Q$4:$Q$2000&amp;"",الطلاب!$B$4:$B$2000,الطلاب!$B$4:$B$2000&amp;"")))</f>
        <v>0</v>
      </c>
      <c r="K27" s="146">
        <f>IF($B27="","",ROUND(SUMIF(الطلاب!$Q:$Q,$B27,الطلاب!$Y:$Y),1))</f>
        <v>0</v>
      </c>
      <c r="L27" s="148">
        <f>IF($B27="","",ROUND(SUMIF(الطلاب!$Q:$Q,$B27,الطلاب!$AH:$AH),3))</f>
        <v>0</v>
      </c>
      <c r="M27" s="39"/>
      <c r="N27" s="148">
        <f>IF($B27="","",ROUND($L27-IF($M27="",0,$M27),3))</f>
        <v>0</v>
      </c>
      <c r="O27" s="148">
        <f>IF($B27="","",ROUND(SUMIFS('الحركات المالية'!$F:$F,'الحركات المالية'!$C:$C,"دفعة معلم",'الحركات المالية'!$D:$D,$B27),3))</f>
        <v>0</v>
      </c>
      <c r="P27" s="148">
        <f>IF($B27="","",ROUND($N27-$O27,3))</f>
        <v>0</v>
      </c>
      <c r="Q27" s="36"/>
    </row>
    <row r="28" spans="1:17" x14ac:dyDescent="0.25">
      <c r="A28" s="141" t="str">
        <f>IF($B28="","","TCH-"&amp;TEXT(ROW()-3,"0000"))</f>
        <v>TCH-0025</v>
      </c>
      <c r="B28" s="36" t="s">
        <v>418</v>
      </c>
      <c r="C28" s="36" t="s">
        <v>461</v>
      </c>
      <c r="D28" s="151" t="s">
        <v>485</v>
      </c>
      <c r="E28" s="36" t="s">
        <v>107</v>
      </c>
      <c r="F28" s="36"/>
      <c r="G28" s="36" t="s">
        <v>149</v>
      </c>
      <c r="H28" s="141"/>
      <c r="I28" s="144">
        <f>IF($B28="","",COUNTIF(الطلاب!$Q:$Q,$B28))</f>
        <v>0</v>
      </c>
      <c r="J28" s="144">
        <f>IF($B28="","",SUMPRODUCT((الطلاب!$Q$4:$Q$2000=$B28)*(الطلاب!$B$4:$B$2000&lt;&gt;"")/COUNTIFS(الطلاب!$Q$4:$Q$2000,الطلاب!$Q$4:$Q$2000&amp;"",الطلاب!$B$4:$B$2000,الطلاب!$B$4:$B$2000&amp;"")))</f>
        <v>0</v>
      </c>
      <c r="K28" s="146">
        <f>IF($B28="","",ROUND(SUMIF(الطلاب!$Q:$Q,$B28,الطلاب!$Y:$Y),1))</f>
        <v>0</v>
      </c>
      <c r="L28" s="148">
        <f>IF($B28="","",ROUND(SUMIF(الطلاب!$Q:$Q,$B28,الطلاب!$AH:$AH),3))</f>
        <v>0</v>
      </c>
      <c r="M28" s="39"/>
      <c r="N28" s="148">
        <f>IF($B28="","",ROUND($L28-IF($M28="",0,$M28),3))</f>
        <v>0</v>
      </c>
      <c r="O28" s="148">
        <f>IF($B28="","",ROUND(SUMIFS('الحركات المالية'!$F:$F,'الحركات المالية'!$C:$C,"دفعة معلم",'الحركات المالية'!$D:$D,$B28),3))</f>
        <v>0</v>
      </c>
      <c r="P28" s="148">
        <f>IF($B28="","",ROUND($N28-$O28,3))</f>
        <v>0</v>
      </c>
      <c r="Q28" s="36"/>
    </row>
    <row r="29" spans="1:17" x14ac:dyDescent="0.25">
      <c r="A29" s="142" t="str">
        <f>IF($B29="","","TCH-"&amp;TEXT(ROW()-3,"0000"))</f>
        <v>TCH-0026</v>
      </c>
      <c r="B29" s="143" t="s">
        <v>403</v>
      </c>
      <c r="C29" s="143" t="s">
        <v>455</v>
      </c>
      <c r="D29" s="152" t="s">
        <v>470</v>
      </c>
      <c r="E29" s="143" t="s">
        <v>86</v>
      </c>
      <c r="F29" s="143"/>
      <c r="G29" s="143" t="s">
        <v>149</v>
      </c>
      <c r="H29" s="142"/>
      <c r="I29" s="145">
        <f>IF($B29="","",COUNTIF(الطلاب!$Q:$Q,$B29))</f>
        <v>0</v>
      </c>
      <c r="J29" s="145">
        <f>IF($B29="","",SUMPRODUCT((الطلاب!$Q$4:$Q$2000=$B29)*(الطلاب!$B$4:$B$2000&lt;&gt;"")/COUNTIFS(الطلاب!$Q$4:$Q$2000,الطلاب!$Q$4:$Q$2000&amp;"",الطلاب!$B$4:$B$2000,الطلاب!$B$4:$B$2000&amp;"")))</f>
        <v>0</v>
      </c>
      <c r="K29" s="147">
        <f>IF($B29="","",ROUND(SUMIF(الطلاب!$Q:$Q,$B29,الطلاب!$Y:$Y),1))</f>
        <v>0</v>
      </c>
      <c r="L29" s="149">
        <f>IF($B29="","",ROUND(SUMIF(الطلاب!$Q:$Q,$B29,الطلاب!$AH:$AH),3))</f>
        <v>0</v>
      </c>
      <c r="M29" s="150"/>
      <c r="N29" s="149">
        <f>IF($B29="","",ROUND($L29-IF($M29="",0,$M29),3))</f>
        <v>0</v>
      </c>
      <c r="O29" s="149">
        <f>IF($B29="","",ROUND(SUMIFS('الحركات المالية'!$F:$F,'الحركات المالية'!$C:$C,"دفعة معلم",'الحركات المالية'!$D:$D,$B29),3))</f>
        <v>0</v>
      </c>
      <c r="P29" s="149">
        <f>IF($B29="","",ROUND($N29-$O29,3))</f>
        <v>0</v>
      </c>
      <c r="Q29" s="143"/>
    </row>
    <row r="30" spans="1:17" x14ac:dyDescent="0.25">
      <c r="A30" s="142" t="str">
        <f>IF($B30="","","TCH-"&amp;TEXT(ROW()-3,"0000"))</f>
        <v>TCH-0027</v>
      </c>
      <c r="B30" s="143" t="s">
        <v>413</v>
      </c>
      <c r="C30" s="143" t="s">
        <v>459</v>
      </c>
      <c r="D30" s="152" t="s">
        <v>480</v>
      </c>
      <c r="E30" s="143" t="s">
        <v>521</v>
      </c>
      <c r="F30" s="143"/>
      <c r="G30" s="143" t="s">
        <v>149</v>
      </c>
      <c r="H30" s="142"/>
      <c r="I30" s="145">
        <f>IF($B30="","",COUNTIF(الطلاب!$Q:$Q,$B30))</f>
        <v>0</v>
      </c>
      <c r="J30" s="145">
        <f>IF($B30="","",SUMPRODUCT((الطلاب!$Q$4:$Q$2000=$B30)*(الطلاب!$B$4:$B$2000&lt;&gt;"")/COUNTIFS(الطلاب!$Q$4:$Q$2000,الطلاب!$Q$4:$Q$2000&amp;"",الطلاب!$B$4:$B$2000,الطلاب!$B$4:$B$2000&amp;"")))</f>
        <v>0</v>
      </c>
      <c r="K30" s="147">
        <f>IF($B30="","",ROUND(SUMIF(الطلاب!$Q:$Q,$B30,الطلاب!$Y:$Y),1))</f>
        <v>0</v>
      </c>
      <c r="L30" s="149">
        <f>IF($B30="","",ROUND(SUMIF(الطلاب!$Q:$Q,$B30,الطلاب!$AH:$AH),3))</f>
        <v>0</v>
      </c>
      <c r="M30" s="150"/>
      <c r="N30" s="149">
        <f>IF($B30="","",ROUND($L30-IF($M30="",0,$M30),3))</f>
        <v>0</v>
      </c>
      <c r="O30" s="149">
        <f>IF($B30="","",ROUND(SUMIFS('الحركات المالية'!$F:$F,'الحركات المالية'!$C:$C,"دفعة معلم",'الحركات المالية'!$D:$D,$B30),3))</f>
        <v>0</v>
      </c>
      <c r="P30" s="149">
        <f>IF($B30="","",ROUND($N30-$O30,3))</f>
        <v>0</v>
      </c>
      <c r="Q30" s="143"/>
    </row>
    <row r="31" spans="1:17" x14ac:dyDescent="0.25">
      <c r="A31" s="141" t="str">
        <f>IF($B31="","","TCH-"&amp;TEXT(ROW()-3,"0000"))</f>
        <v>TCH-0028</v>
      </c>
      <c r="B31" s="36" t="s">
        <v>408</v>
      </c>
      <c r="C31" s="36" t="s">
        <v>111</v>
      </c>
      <c r="D31" s="151" t="s">
        <v>475</v>
      </c>
      <c r="E31" s="36" t="s">
        <v>107</v>
      </c>
      <c r="F31" s="36"/>
      <c r="G31" s="36" t="s">
        <v>149</v>
      </c>
      <c r="H31" s="141"/>
      <c r="I31" s="144">
        <f>IF($B31="","",COUNTIF(الطلاب!$Q:$Q,$B31))</f>
        <v>0</v>
      </c>
      <c r="J31" s="144">
        <f>IF($B31="","",SUMPRODUCT((الطلاب!$Q$4:$Q$2000=$B31)*(الطلاب!$B$4:$B$2000&lt;&gt;"")/COUNTIFS(الطلاب!$Q$4:$Q$2000,الطلاب!$Q$4:$Q$2000&amp;"",الطلاب!$B$4:$B$2000,الطلاب!$B$4:$B$2000&amp;"")))</f>
        <v>0</v>
      </c>
      <c r="K31" s="146">
        <f>IF($B31="","",ROUND(SUMIF(الطلاب!$Q:$Q,$B31,الطلاب!$Y:$Y),1))</f>
        <v>0</v>
      </c>
      <c r="L31" s="148">
        <f>IF($B31="","",ROUND(SUMIF(الطلاب!$Q:$Q,$B31,الطلاب!$AH:$AH),3))</f>
        <v>0</v>
      </c>
      <c r="M31" s="39"/>
      <c r="N31" s="148">
        <f>IF($B31="","",ROUND($L31-IF($M31="",0,$M31),3))</f>
        <v>0</v>
      </c>
      <c r="O31" s="148">
        <f>IF($B31="","",ROUND(SUMIFS('الحركات المالية'!$F:$F,'الحركات المالية'!$C:$C,"دفعة معلم",'الحركات المالية'!$D:$D,$B31),3))</f>
        <v>0</v>
      </c>
      <c r="P31" s="148">
        <f>IF($B31="","",ROUND($N31-$O31,3))</f>
        <v>0</v>
      </c>
      <c r="Q31" s="36"/>
    </row>
    <row r="32" spans="1:17" x14ac:dyDescent="0.25">
      <c r="A32" s="141" t="str">
        <f>IF($B32="","","TCH-"&amp;TEXT(ROW()-3,"0000"))</f>
        <v>TCH-0029</v>
      </c>
      <c r="B32" s="36" t="s">
        <v>442</v>
      </c>
      <c r="C32" s="36" t="s">
        <v>205</v>
      </c>
      <c r="D32" s="151" t="s">
        <v>509</v>
      </c>
      <c r="E32" s="36" t="s">
        <v>128</v>
      </c>
      <c r="F32" s="36"/>
      <c r="G32" s="36" t="s">
        <v>149</v>
      </c>
      <c r="H32" s="141"/>
      <c r="I32" s="144">
        <f>IF($B32="","",COUNTIF(الطلاب!$Q:$Q,$B32))</f>
        <v>0</v>
      </c>
      <c r="J32" s="144">
        <f>IF($B32="","",SUMPRODUCT((الطلاب!$Q$4:$Q$2000=$B32)*(الطلاب!$B$4:$B$2000&lt;&gt;"")/COUNTIFS(الطلاب!$Q$4:$Q$2000,الطلاب!$Q$4:$Q$2000&amp;"",الطلاب!$B$4:$B$2000,الطلاب!$B$4:$B$2000&amp;"")))</f>
        <v>0</v>
      </c>
      <c r="K32" s="146">
        <f>IF($B32="","",ROUND(SUMIF(الطلاب!$Q:$Q,$B32,الطلاب!$Y:$Y),1))</f>
        <v>0</v>
      </c>
      <c r="L32" s="148">
        <f>IF($B32="","",ROUND(SUMIF(الطلاب!$Q:$Q,$B32,الطلاب!$AH:$AH),3))</f>
        <v>0</v>
      </c>
      <c r="M32" s="39"/>
      <c r="N32" s="148">
        <f>IF($B32="","",ROUND($L32-IF($M32="",0,$M32),3))</f>
        <v>0</v>
      </c>
      <c r="O32" s="148">
        <f>IF($B32="","",ROUND(SUMIFS('الحركات المالية'!$F:$F,'الحركات المالية'!$C:$C,"دفعة معلم",'الحركات المالية'!$D:$D,$B32),3))</f>
        <v>0</v>
      </c>
      <c r="P32" s="148">
        <f>IF($B32="","",ROUND($N32-$O32,3))</f>
        <v>0</v>
      </c>
      <c r="Q32" s="36"/>
    </row>
    <row r="33" spans="1:17" x14ac:dyDescent="0.25">
      <c r="A33" s="142" t="str">
        <f>IF($B33="","","TCH-"&amp;TEXT(ROW()-3,"0000"))</f>
        <v>TCH-0030</v>
      </c>
      <c r="B33" s="143" t="s">
        <v>429</v>
      </c>
      <c r="C33" s="143" t="s">
        <v>459</v>
      </c>
      <c r="D33" s="152" t="s">
        <v>496</v>
      </c>
      <c r="E33" s="143"/>
      <c r="F33" s="143"/>
      <c r="G33" s="143" t="s">
        <v>149</v>
      </c>
      <c r="H33" s="142"/>
      <c r="I33" s="145">
        <f>IF($B33="","",COUNTIF(الطلاب!$Q:$Q,$B33))</f>
        <v>0</v>
      </c>
      <c r="J33" s="145">
        <f>IF($B33="","",SUMPRODUCT((الطلاب!$Q$4:$Q$2000=$B33)*(الطلاب!$B$4:$B$2000&lt;&gt;"")/COUNTIFS(الطلاب!$Q$4:$Q$2000,الطلاب!$Q$4:$Q$2000&amp;"",الطلاب!$B$4:$B$2000,الطلاب!$B$4:$B$2000&amp;"")))</f>
        <v>0</v>
      </c>
      <c r="K33" s="147">
        <f>IF($B33="","",ROUND(SUMIF(الطلاب!$Q:$Q,$B33,الطلاب!$Y:$Y),1))</f>
        <v>0</v>
      </c>
      <c r="L33" s="149">
        <f>IF($B33="","",ROUND(SUMIF(الطلاب!$Q:$Q,$B33,الطلاب!$AH:$AH),3))</f>
        <v>0</v>
      </c>
      <c r="M33" s="150"/>
      <c r="N33" s="149">
        <f>IF($B33="","",ROUND($L33-IF($M33="",0,$M33),3))</f>
        <v>0</v>
      </c>
      <c r="O33" s="149">
        <f>IF($B33="","",ROUND(SUMIFS('الحركات المالية'!$F:$F,'الحركات المالية'!$C:$C,"دفعة معلم",'الحركات المالية'!$D:$D,$B33),3))</f>
        <v>0</v>
      </c>
      <c r="P33" s="149">
        <f>IF($B33="","",ROUND($N33-$O33,3))</f>
        <v>0</v>
      </c>
      <c r="Q33" s="143"/>
    </row>
    <row r="34" spans="1:17" x14ac:dyDescent="0.25">
      <c r="A34" s="142" t="str">
        <f>IF($B34="","","TCH-"&amp;TEXT(ROW()-3,"0000"))</f>
        <v>TCH-0031</v>
      </c>
      <c r="B34" s="143" t="s">
        <v>425</v>
      </c>
      <c r="C34" s="143" t="s">
        <v>90</v>
      </c>
      <c r="D34" s="152" t="s">
        <v>492</v>
      </c>
      <c r="E34" s="143" t="s">
        <v>86</v>
      </c>
      <c r="F34" s="143"/>
      <c r="G34" s="143" t="s">
        <v>149</v>
      </c>
      <c r="H34" s="142"/>
      <c r="I34" s="145">
        <f>IF($B34="","",COUNTIF(الطلاب!$Q:$Q,$B34))</f>
        <v>0</v>
      </c>
      <c r="J34" s="145">
        <f>IF($B34="","",SUMPRODUCT((الطلاب!$Q$4:$Q$2000=$B34)*(الطلاب!$B$4:$B$2000&lt;&gt;"")/COUNTIFS(الطلاب!$Q$4:$Q$2000,الطلاب!$Q$4:$Q$2000&amp;"",الطلاب!$B$4:$B$2000,الطلاب!$B$4:$B$2000&amp;"")))</f>
        <v>0</v>
      </c>
      <c r="K34" s="147">
        <f>IF($B34="","",ROUND(SUMIF(الطلاب!$Q:$Q,$B34,الطلاب!$Y:$Y),1))</f>
        <v>0</v>
      </c>
      <c r="L34" s="149">
        <f>IF($B34="","",ROUND(SUMIF(الطلاب!$Q:$Q,$B34,الطلاب!$AH:$AH),3))</f>
        <v>0</v>
      </c>
      <c r="M34" s="150"/>
      <c r="N34" s="149">
        <f>IF($B34="","",ROUND($L34-IF($M34="",0,$M34),3))</f>
        <v>0</v>
      </c>
      <c r="O34" s="149">
        <f>IF($B34="","",ROUND(SUMIFS('الحركات المالية'!$F:$F,'الحركات المالية'!$C:$C,"دفعة معلم",'الحركات المالية'!$D:$D,$B34),3))</f>
        <v>0</v>
      </c>
      <c r="P34" s="149">
        <f>IF($B34="","",ROUND($N34-$O34,3))</f>
        <v>0</v>
      </c>
      <c r="Q34" s="143"/>
    </row>
    <row r="35" spans="1:17" x14ac:dyDescent="0.25">
      <c r="A35" s="141" t="str">
        <f>IF($B35="","","TCH-"&amp;TEXT(ROW()-3,"0000"))</f>
        <v>TCH-0032</v>
      </c>
      <c r="B35" s="36" t="s">
        <v>430</v>
      </c>
      <c r="C35" s="36" t="s">
        <v>455</v>
      </c>
      <c r="D35" s="151" t="s">
        <v>497</v>
      </c>
      <c r="E35" s="36" t="s">
        <v>107</v>
      </c>
      <c r="F35" s="36"/>
      <c r="G35" s="36" t="s">
        <v>149</v>
      </c>
      <c r="H35" s="141"/>
      <c r="I35" s="144">
        <f>IF($B35="","",COUNTIF(الطلاب!$Q:$Q,$B35))</f>
        <v>0</v>
      </c>
      <c r="J35" s="144">
        <f>IF($B35="","",SUMPRODUCT((الطلاب!$Q$4:$Q$2000=$B35)*(الطلاب!$B$4:$B$2000&lt;&gt;"")/COUNTIFS(الطلاب!$Q$4:$Q$2000,الطلاب!$Q$4:$Q$2000&amp;"",الطلاب!$B$4:$B$2000,الطلاب!$B$4:$B$2000&amp;"")))</f>
        <v>0</v>
      </c>
      <c r="K35" s="146">
        <f>IF($B35="","",ROUND(SUMIF(الطلاب!$Q:$Q,$B35,الطلاب!$Y:$Y),1))</f>
        <v>0</v>
      </c>
      <c r="L35" s="148">
        <f>IF($B35="","",ROUND(SUMIF(الطلاب!$Q:$Q,$B35,الطلاب!$AH:$AH),3))</f>
        <v>0</v>
      </c>
      <c r="M35" s="39"/>
      <c r="N35" s="148">
        <f>IF($B35="","",ROUND($L35-IF($M35="",0,$M35),3))</f>
        <v>0</v>
      </c>
      <c r="O35" s="148">
        <f>IF($B35="","",ROUND(SUMIFS('الحركات المالية'!$F:$F,'الحركات المالية'!$C:$C,"دفعة معلم",'الحركات المالية'!$D:$D,$B35),3))</f>
        <v>0</v>
      </c>
      <c r="P35" s="148">
        <f>IF($B35="","",ROUND($N35-$O35,3))</f>
        <v>0</v>
      </c>
      <c r="Q35" s="36"/>
    </row>
    <row r="36" spans="1:17" x14ac:dyDescent="0.25">
      <c r="A36" s="141" t="str">
        <f>IF($B36="","","TCH-"&amp;TEXT(ROW()-3,"0000"))</f>
        <v>TCH-0033</v>
      </c>
      <c r="B36" s="36" t="s">
        <v>436</v>
      </c>
      <c r="C36" s="36" t="s">
        <v>276</v>
      </c>
      <c r="D36" s="151" t="s">
        <v>503</v>
      </c>
      <c r="E36" s="36" t="s">
        <v>86</v>
      </c>
      <c r="F36" s="36"/>
      <c r="G36" s="36" t="s">
        <v>149</v>
      </c>
      <c r="H36" s="141"/>
      <c r="I36" s="144">
        <f>IF($B36="","",COUNTIF(الطلاب!$Q:$Q,$B36))</f>
        <v>0</v>
      </c>
      <c r="J36" s="144">
        <f>IF($B36="","",SUMPRODUCT((الطلاب!$Q$4:$Q$2000=$B36)*(الطلاب!$B$4:$B$2000&lt;&gt;"")/COUNTIFS(الطلاب!$Q$4:$Q$2000,الطلاب!$Q$4:$Q$2000&amp;"",الطلاب!$B$4:$B$2000,الطلاب!$B$4:$B$2000&amp;"")))</f>
        <v>0</v>
      </c>
      <c r="K36" s="146">
        <f>IF($B36="","",ROUND(SUMIF(الطلاب!$Q:$Q,$B36,الطلاب!$Y:$Y),1))</f>
        <v>0</v>
      </c>
      <c r="L36" s="148">
        <f>IF($B36="","",ROUND(SUMIF(الطلاب!$Q:$Q,$B36,الطلاب!$AH:$AH),3))</f>
        <v>0</v>
      </c>
      <c r="M36" s="39"/>
      <c r="N36" s="148">
        <f>IF($B36="","",ROUND($L36-IF($M36="",0,$M36),3))</f>
        <v>0</v>
      </c>
      <c r="O36" s="148">
        <f>IF($B36="","",ROUND(SUMIFS('الحركات المالية'!$F:$F,'الحركات المالية'!$C:$C,"دفعة معلم",'الحركات المالية'!$D:$D,$B36),3))</f>
        <v>0</v>
      </c>
      <c r="P36" s="148">
        <f>IF($B36="","",ROUND($N36-$O36,3))</f>
        <v>0</v>
      </c>
      <c r="Q36" s="36"/>
    </row>
    <row r="37" spans="1:17" x14ac:dyDescent="0.25">
      <c r="A37" s="141" t="str">
        <f>IF($B37="","","TCH-"&amp;TEXT(ROW()-3,"0000"))</f>
        <v>TCH-0034</v>
      </c>
      <c r="B37" s="36" t="s">
        <v>404</v>
      </c>
      <c r="C37" s="36" t="s">
        <v>456</v>
      </c>
      <c r="D37" s="151" t="s">
        <v>471</v>
      </c>
      <c r="E37" s="36" t="s">
        <v>86</v>
      </c>
      <c r="F37" s="36"/>
      <c r="G37" s="36" t="s">
        <v>149</v>
      </c>
      <c r="H37" s="141"/>
      <c r="I37" s="144">
        <f>IF($B37="","",COUNTIF(الطلاب!$Q:$Q,$B37))</f>
        <v>0</v>
      </c>
      <c r="J37" s="144">
        <f>IF($B37="","",SUMPRODUCT((الطلاب!$Q$4:$Q$2000=$B37)*(الطلاب!$B$4:$B$2000&lt;&gt;"")/COUNTIFS(الطلاب!$Q$4:$Q$2000,الطلاب!$Q$4:$Q$2000&amp;"",الطلاب!$B$4:$B$2000,الطلاب!$B$4:$B$2000&amp;"")))</f>
        <v>0</v>
      </c>
      <c r="K37" s="146">
        <f>IF($B37="","",ROUND(SUMIF(الطلاب!$Q:$Q,$B37,الطلاب!$Y:$Y),1))</f>
        <v>0</v>
      </c>
      <c r="L37" s="148">
        <f>IF($B37="","",ROUND(SUMIF(الطلاب!$Q:$Q,$B37,الطلاب!$AH:$AH),3))</f>
        <v>0</v>
      </c>
      <c r="M37" s="39"/>
      <c r="N37" s="148">
        <f>IF($B37="","",ROUND($L37-IF($M37="",0,$M37),3))</f>
        <v>0</v>
      </c>
      <c r="O37" s="148">
        <f>IF($B37="","",ROUND(SUMIFS('الحركات المالية'!$F:$F,'الحركات المالية'!$C:$C,"دفعة معلم",'الحركات المالية'!$D:$D,$B37),3))</f>
        <v>0</v>
      </c>
      <c r="P37" s="148">
        <f>IF($B37="","",ROUND($N37-$O37,3))</f>
        <v>0</v>
      </c>
      <c r="Q37" s="36"/>
    </row>
    <row r="38" spans="1:17" x14ac:dyDescent="0.25">
      <c r="A38" s="142" t="str">
        <f>IF($B38="","","TCH-"&amp;TEXT(ROW()-3,"0000"))</f>
        <v>TCH-0035</v>
      </c>
      <c r="B38" s="143" t="s">
        <v>445</v>
      </c>
      <c r="C38" s="143" t="s">
        <v>465</v>
      </c>
      <c r="D38" s="152" t="s">
        <v>512</v>
      </c>
      <c r="E38" s="143"/>
      <c r="F38" s="143"/>
      <c r="G38" s="143" t="s">
        <v>149</v>
      </c>
      <c r="H38" s="142"/>
      <c r="I38" s="145">
        <f>IF($B38="","",COUNTIF(الطلاب!$Q:$Q,$B38))</f>
        <v>0</v>
      </c>
      <c r="J38" s="145">
        <f>IF($B38="","",SUMPRODUCT((الطلاب!$Q$4:$Q$2000=$B38)*(الطلاب!$B$4:$B$2000&lt;&gt;"")/COUNTIFS(الطلاب!$Q$4:$Q$2000,الطلاب!$Q$4:$Q$2000&amp;"",الطلاب!$B$4:$B$2000,الطلاب!$B$4:$B$2000&amp;"")))</f>
        <v>0</v>
      </c>
      <c r="K38" s="147">
        <f>IF($B38="","",ROUND(SUMIF(الطلاب!$Q:$Q,$B38,الطلاب!$Y:$Y),1))</f>
        <v>0</v>
      </c>
      <c r="L38" s="149">
        <f>IF($B38="","",ROUND(SUMIF(الطلاب!$Q:$Q,$B38,الطلاب!$AH:$AH),3))</f>
        <v>0</v>
      </c>
      <c r="M38" s="150"/>
      <c r="N38" s="149">
        <f>IF($B38="","",ROUND($L38-IF($M38="",0,$M38),3))</f>
        <v>0</v>
      </c>
      <c r="O38" s="149">
        <f>IF($B38="","",ROUND(SUMIFS('الحركات المالية'!$F:$F,'الحركات المالية'!$C:$C,"دفعة معلم",'الحركات المالية'!$D:$D,$B38),3))</f>
        <v>0</v>
      </c>
      <c r="P38" s="149">
        <f>IF($B38="","",ROUND($N38-$O38,3))</f>
        <v>0</v>
      </c>
      <c r="Q38" s="143"/>
    </row>
    <row r="39" spans="1:17" x14ac:dyDescent="0.25">
      <c r="A39" s="141" t="str">
        <f>IF($B39="","","TCH-"&amp;TEXT(ROW()-3,"0000"))</f>
        <v>TCH-0036</v>
      </c>
      <c r="B39" s="36" t="s">
        <v>420</v>
      </c>
      <c r="C39" s="36" t="s">
        <v>453</v>
      </c>
      <c r="D39" s="151" t="s">
        <v>487</v>
      </c>
      <c r="E39" s="36" t="s">
        <v>128</v>
      </c>
      <c r="F39" s="36"/>
      <c r="G39" s="36" t="s">
        <v>149</v>
      </c>
      <c r="H39" s="141"/>
      <c r="I39" s="144">
        <f>IF($B39="","",COUNTIF(الطلاب!$Q:$Q,$B39))</f>
        <v>0</v>
      </c>
      <c r="J39" s="144">
        <f>IF($B39="","",SUMPRODUCT((الطلاب!$Q$4:$Q$2000=$B39)*(الطلاب!$B$4:$B$2000&lt;&gt;"")/COUNTIFS(الطلاب!$Q$4:$Q$2000,الطلاب!$Q$4:$Q$2000&amp;"",الطلاب!$B$4:$B$2000,الطلاب!$B$4:$B$2000&amp;"")))</f>
        <v>0</v>
      </c>
      <c r="K39" s="146">
        <f>IF($B39="","",ROUND(SUMIF(الطلاب!$Q:$Q,$B39,الطلاب!$Y:$Y),1))</f>
        <v>0</v>
      </c>
      <c r="L39" s="148">
        <f>IF($B39="","",ROUND(SUMIF(الطلاب!$Q:$Q,$B39,الطلاب!$AH:$AH),3))</f>
        <v>0</v>
      </c>
      <c r="M39" s="39"/>
      <c r="N39" s="148">
        <f>IF($B39="","",ROUND($L39-IF($M39="",0,$M39),3))</f>
        <v>0</v>
      </c>
      <c r="O39" s="148">
        <f>IF($B39="","",ROUND(SUMIFS('الحركات المالية'!$F:$F,'الحركات المالية'!$C:$C,"دفعة معلم",'الحركات المالية'!$D:$D,$B39),3))</f>
        <v>0</v>
      </c>
      <c r="P39" s="148">
        <f>IF($B39="","",ROUND($N39-$O39,3))</f>
        <v>0</v>
      </c>
      <c r="Q39" s="36" t="s">
        <v>524</v>
      </c>
    </row>
    <row r="40" spans="1:17" x14ac:dyDescent="0.25">
      <c r="A40" s="141" t="str">
        <f>IF($B40="","","TCH-"&amp;TEXT(ROW()-3,"0000"))</f>
        <v>TCH-0037</v>
      </c>
      <c r="B40" s="36" t="s">
        <v>416</v>
      </c>
      <c r="C40" s="36" t="s">
        <v>459</v>
      </c>
      <c r="D40" s="151" t="s">
        <v>483</v>
      </c>
      <c r="E40" s="36" t="s">
        <v>521</v>
      </c>
      <c r="F40" s="36"/>
      <c r="G40" s="36" t="s">
        <v>149</v>
      </c>
      <c r="H40" s="141"/>
      <c r="I40" s="144">
        <f>IF($B40="","",COUNTIF(الطلاب!$Q:$Q,$B40))</f>
        <v>0</v>
      </c>
      <c r="J40" s="144">
        <f>IF($B40="","",SUMPRODUCT((الطلاب!$Q$4:$Q$2000=$B40)*(الطلاب!$B$4:$B$2000&lt;&gt;"")/COUNTIFS(الطلاب!$Q$4:$Q$2000,الطلاب!$Q$4:$Q$2000&amp;"",الطلاب!$B$4:$B$2000,الطلاب!$B$4:$B$2000&amp;"")))</f>
        <v>0</v>
      </c>
      <c r="K40" s="146">
        <f>IF($B40="","",ROUND(SUMIF(الطلاب!$Q:$Q,$B40,الطلاب!$Y:$Y),1))</f>
        <v>0</v>
      </c>
      <c r="L40" s="148">
        <f>IF($B40="","",ROUND(SUMIF(الطلاب!$Q:$Q,$B40,الطلاب!$AH:$AH),3))</f>
        <v>0</v>
      </c>
      <c r="M40" s="39"/>
      <c r="N40" s="148">
        <f>IF($B40="","",ROUND($L40-IF($M40="",0,$M40),3))</f>
        <v>0</v>
      </c>
      <c r="O40" s="148">
        <f>IF($B40="","",ROUND(SUMIFS('الحركات المالية'!$F:$F,'الحركات المالية'!$C:$C,"دفعة معلم",'الحركات المالية'!$D:$D,$B40),3))</f>
        <v>0</v>
      </c>
      <c r="P40" s="148">
        <f>IF($B40="","",ROUND($N40-$O40,3))</f>
        <v>0</v>
      </c>
      <c r="Q40" s="36"/>
    </row>
    <row r="41" spans="1:17" x14ac:dyDescent="0.25">
      <c r="A41" s="142" t="str">
        <f>IF($B41="","","TCH-"&amp;TEXT(ROW()-3,"0000"))</f>
        <v>TCH-0038</v>
      </c>
      <c r="B41" s="143" t="s">
        <v>437</v>
      </c>
      <c r="C41" s="143" t="s">
        <v>455</v>
      </c>
      <c r="D41" s="152" t="s">
        <v>504</v>
      </c>
      <c r="E41" s="143" t="s">
        <v>128</v>
      </c>
      <c r="F41" s="143"/>
      <c r="G41" s="143" t="s">
        <v>149</v>
      </c>
      <c r="H41" s="142"/>
      <c r="I41" s="145">
        <f>IF($B41="","",COUNTIF(الطلاب!$Q:$Q,$B41))</f>
        <v>0</v>
      </c>
      <c r="J41" s="145">
        <f>IF($B41="","",SUMPRODUCT((الطلاب!$Q$4:$Q$2000=$B41)*(الطلاب!$B$4:$B$2000&lt;&gt;"")/COUNTIFS(الطلاب!$Q$4:$Q$2000,الطلاب!$Q$4:$Q$2000&amp;"",الطلاب!$B$4:$B$2000,الطلاب!$B$4:$B$2000&amp;"")))</f>
        <v>0</v>
      </c>
      <c r="K41" s="147">
        <f>IF($B41="","",ROUND(SUMIF(الطلاب!$Q:$Q,$B41,الطلاب!$Y:$Y),1))</f>
        <v>0</v>
      </c>
      <c r="L41" s="149">
        <f>IF($B41="","",ROUND(SUMIF(الطلاب!$Q:$Q,$B41,الطلاب!$AH:$AH),3))</f>
        <v>0</v>
      </c>
      <c r="M41" s="150"/>
      <c r="N41" s="149">
        <f>IF($B41="","",ROUND($L41-IF($M41="",0,$M41),3))</f>
        <v>0</v>
      </c>
      <c r="O41" s="149">
        <f>IF($B41="","",ROUND(SUMIFS('الحركات المالية'!$F:$F,'الحركات المالية'!$C:$C,"دفعة معلم",'الحركات المالية'!$D:$D,$B41),3))</f>
        <v>0</v>
      </c>
      <c r="P41" s="149">
        <f>IF($B41="","",ROUND($N41-$O41,3))</f>
        <v>0</v>
      </c>
      <c r="Q41" s="143"/>
    </row>
    <row r="42" spans="1:17" x14ac:dyDescent="0.25">
      <c r="A42" s="141" t="str">
        <f>IF($B42="","","TCH-"&amp;TEXT(ROW()-3,"0000"))</f>
        <v>TCH-0039</v>
      </c>
      <c r="B42" s="36" t="s">
        <v>450</v>
      </c>
      <c r="C42" s="36" t="s">
        <v>90</v>
      </c>
      <c r="D42" s="151" t="s">
        <v>517</v>
      </c>
      <c r="E42" s="36"/>
      <c r="F42" s="36"/>
      <c r="G42" s="36" t="s">
        <v>149</v>
      </c>
      <c r="H42" s="141"/>
      <c r="I42" s="144">
        <f>IF($B42="","",COUNTIF(الطلاب!$Q:$Q,$B42))</f>
        <v>0</v>
      </c>
      <c r="J42" s="144">
        <f>IF($B42="","",SUMPRODUCT((الطلاب!$Q$4:$Q$2000=$B42)*(الطلاب!$B$4:$B$2000&lt;&gt;"")/COUNTIFS(الطلاب!$Q$4:$Q$2000,الطلاب!$Q$4:$Q$2000&amp;"",الطلاب!$B$4:$B$2000,الطلاب!$B$4:$B$2000&amp;"")))</f>
        <v>0</v>
      </c>
      <c r="K42" s="146">
        <f>IF($B42="","",ROUND(SUMIF(الطلاب!$Q:$Q,$B42,الطلاب!$Y:$Y),1))</f>
        <v>0</v>
      </c>
      <c r="L42" s="148">
        <f>IF($B42="","",ROUND(SUMIF(الطلاب!$Q:$Q,$B42,الطلاب!$AH:$AH),3))</f>
        <v>0</v>
      </c>
      <c r="M42" s="39"/>
      <c r="N42" s="148">
        <f>IF($B42="","",ROUND($L42-IF($M42="",0,$M42),3))</f>
        <v>0</v>
      </c>
      <c r="O42" s="148">
        <f>IF($B42="","",ROUND(SUMIFS('الحركات المالية'!$F:$F,'الحركات المالية'!$C:$C,"دفعة معلم",'الحركات المالية'!$D:$D,$B42),3))</f>
        <v>0</v>
      </c>
      <c r="P42" s="148">
        <f>IF($B42="","",ROUND($N42-$O42,3))</f>
        <v>0</v>
      </c>
      <c r="Q42" s="36"/>
    </row>
    <row r="43" spans="1:17" x14ac:dyDescent="0.25">
      <c r="A43" s="142" t="str">
        <f>IF($B43="","","TCH-"&amp;TEXT(ROW()-3,"0000"))</f>
        <v>TCH-0040</v>
      </c>
      <c r="B43" s="143" t="s">
        <v>439</v>
      </c>
      <c r="C43" s="143" t="s">
        <v>455</v>
      </c>
      <c r="D43" s="152" t="s">
        <v>506</v>
      </c>
      <c r="E43" s="143" t="s">
        <v>107</v>
      </c>
      <c r="F43" s="143"/>
      <c r="G43" s="143" t="s">
        <v>149</v>
      </c>
      <c r="H43" s="142"/>
      <c r="I43" s="145">
        <f>IF($B43="","",COUNTIF(الطلاب!$Q:$Q,$B43))</f>
        <v>0</v>
      </c>
      <c r="J43" s="145">
        <f>IF($B43="","",SUMPRODUCT((الطلاب!$Q$4:$Q$2000=$B43)*(الطلاب!$B$4:$B$2000&lt;&gt;"")/COUNTIFS(الطلاب!$Q$4:$Q$2000,الطلاب!$Q$4:$Q$2000&amp;"",الطلاب!$B$4:$B$2000,الطلاب!$B$4:$B$2000&amp;"")))</f>
        <v>0</v>
      </c>
      <c r="K43" s="147">
        <f>IF($B43="","",ROUND(SUMIF(الطلاب!$Q:$Q,$B43,الطلاب!$Y:$Y),1))</f>
        <v>0</v>
      </c>
      <c r="L43" s="149">
        <f>IF($B43="","",ROUND(SUMIF(الطلاب!$Q:$Q,$B43,الطلاب!$AH:$AH),3))</f>
        <v>0</v>
      </c>
      <c r="M43" s="150"/>
      <c r="N43" s="149">
        <f>IF($B43="","",ROUND($L43-IF($M43="",0,$M43),3))</f>
        <v>0</v>
      </c>
      <c r="O43" s="149">
        <f>IF($B43="","",ROUND(SUMIFS('الحركات المالية'!$F:$F,'الحركات المالية'!$C:$C,"دفعة معلم",'الحركات المالية'!$D:$D,$B43),3))</f>
        <v>0</v>
      </c>
      <c r="P43" s="149">
        <f>IF($B43="","",ROUND($N43-$O43,3))</f>
        <v>0</v>
      </c>
      <c r="Q43" s="143" t="s">
        <v>524</v>
      </c>
    </row>
    <row r="44" spans="1:17" x14ac:dyDescent="0.25">
      <c r="A44" s="141" t="str">
        <f>IF($B44="","","TCH-"&amp;TEXT(ROW()-3,"0000"))</f>
        <v>TCH-0041</v>
      </c>
      <c r="B44" s="36" t="s">
        <v>422</v>
      </c>
      <c r="C44" s="36" t="s">
        <v>463</v>
      </c>
      <c r="D44" s="151" t="s">
        <v>489</v>
      </c>
      <c r="E44" s="36" t="s">
        <v>223</v>
      </c>
      <c r="F44" s="36"/>
      <c r="G44" s="36" t="s">
        <v>149</v>
      </c>
      <c r="H44" s="141"/>
      <c r="I44" s="144">
        <f>IF($B44="","",COUNTIF(الطلاب!$Q:$Q,$B44))</f>
        <v>0</v>
      </c>
      <c r="J44" s="144">
        <f>IF($B44="","",SUMPRODUCT((الطلاب!$Q$4:$Q$2000=$B44)*(الطلاب!$B$4:$B$2000&lt;&gt;"")/COUNTIFS(الطلاب!$Q$4:$Q$2000,الطلاب!$Q$4:$Q$2000&amp;"",الطلاب!$B$4:$B$2000,الطلاب!$B$4:$B$2000&amp;"")))</f>
        <v>0</v>
      </c>
      <c r="K44" s="146">
        <f>IF($B44="","",ROUND(SUMIF(الطلاب!$Q:$Q,$B44,الطلاب!$Y:$Y),1))</f>
        <v>0</v>
      </c>
      <c r="L44" s="148">
        <f>IF($B44="","",ROUND(SUMIF(الطلاب!$Q:$Q,$B44,الطلاب!$AH:$AH),3))</f>
        <v>0</v>
      </c>
      <c r="M44" s="39"/>
      <c r="N44" s="148">
        <f>IF($B44="","",ROUND($L44-IF($M44="",0,$M44),3))</f>
        <v>0</v>
      </c>
      <c r="O44" s="148">
        <f>IF($B44="","",ROUND(SUMIFS('الحركات المالية'!$F:$F,'الحركات المالية'!$C:$C,"دفعة معلم",'الحركات المالية'!$D:$D,$B44),3))</f>
        <v>0</v>
      </c>
      <c r="P44" s="148">
        <f>IF($B44="","",ROUND($N44-$O44,3))</f>
        <v>0</v>
      </c>
      <c r="Q44" s="36"/>
    </row>
    <row r="45" spans="1:17" x14ac:dyDescent="0.25">
      <c r="A45" s="142" t="str">
        <f>IF($B45="","","TCH-"&amp;TEXT(ROW()-3,"0000"))</f>
        <v>TCH-0042</v>
      </c>
      <c r="B45" s="143" t="s">
        <v>441</v>
      </c>
      <c r="C45" s="143" t="s">
        <v>90</v>
      </c>
      <c r="D45" s="152" t="s">
        <v>508</v>
      </c>
      <c r="E45" s="143"/>
      <c r="F45" s="143"/>
      <c r="G45" s="143" t="s">
        <v>149</v>
      </c>
      <c r="H45" s="142" t="s">
        <v>90</v>
      </c>
      <c r="I45" s="145">
        <f>IF($B45="","",COUNTIF(الطلاب!$Q:$Q,$B45))</f>
        <v>1</v>
      </c>
      <c r="J45" s="145">
        <f>IF($B45="","",SUMPRODUCT((الطلاب!$Q$4:$Q$2000=$B45)*(الطلاب!$B$4:$B$2000&lt;&gt;"")/COUNTIFS(الطلاب!$Q$4:$Q$2000,الطلاب!$Q$4:$Q$2000&amp;"",الطلاب!$B$4:$B$2000,الطلاب!$B$4:$B$2000&amp;"")))</f>
        <v>1</v>
      </c>
      <c r="K45" s="147">
        <f>IF($B45="","",ROUND(SUMIF(الطلاب!$Q:$Q,$B45,الطلاب!$Y:$Y),1))</f>
        <v>1.5</v>
      </c>
      <c r="L45" s="149">
        <f>IF($B45="","",ROUND(SUMIF(الطلاب!$Q:$Q,$B45,الطلاب!$AH:$AH),3))</f>
        <v>0</v>
      </c>
      <c r="M45" s="150"/>
      <c r="N45" s="149">
        <f>IF($B45="","",ROUND($L45-IF($M45="",0,$M45),3))</f>
        <v>0</v>
      </c>
      <c r="O45" s="149">
        <f>IF($B45="","",ROUND(SUMIFS('الحركات المالية'!$F:$F,'الحركات المالية'!$C:$C,"دفعة معلم",'الحركات المالية'!$D:$D,$B45),3))</f>
        <v>0</v>
      </c>
      <c r="P45" s="149">
        <f>IF($B45="","",ROUND($N45-$O45,3))</f>
        <v>0</v>
      </c>
      <c r="Q45" s="143"/>
    </row>
    <row r="46" spans="1:17" x14ac:dyDescent="0.25">
      <c r="A46" s="141" t="str">
        <f>IF($B46="","","TCH-"&amp;TEXT(ROW()-3,"0000"))</f>
        <v>TCH-0043</v>
      </c>
      <c r="B46" s="36" t="s">
        <v>444</v>
      </c>
      <c r="C46" s="36" t="s">
        <v>205</v>
      </c>
      <c r="D46" s="151" t="s">
        <v>511</v>
      </c>
      <c r="E46" s="36"/>
      <c r="F46" s="36"/>
      <c r="G46" s="36" t="s">
        <v>149</v>
      </c>
      <c r="H46" s="141"/>
      <c r="I46" s="144">
        <f>IF($B46="","",COUNTIF(الطلاب!$Q:$Q,$B46))</f>
        <v>0</v>
      </c>
      <c r="J46" s="144">
        <f>IF($B46="","",SUMPRODUCT((الطلاب!$Q$4:$Q$2000=$B46)*(الطلاب!$B$4:$B$2000&lt;&gt;"")/COUNTIFS(الطلاب!$Q$4:$Q$2000,الطلاب!$Q$4:$Q$2000&amp;"",الطلاب!$B$4:$B$2000,الطلاب!$B$4:$B$2000&amp;"")))</f>
        <v>0</v>
      </c>
      <c r="K46" s="146">
        <f>IF($B46="","",ROUND(SUMIF(الطلاب!$Q:$Q,$B46,الطلاب!$Y:$Y),1))</f>
        <v>0</v>
      </c>
      <c r="L46" s="148">
        <f>IF($B46="","",ROUND(SUMIF(الطلاب!$Q:$Q,$B46,الطلاب!$AH:$AH),3))</f>
        <v>0</v>
      </c>
      <c r="M46" s="39"/>
      <c r="N46" s="148">
        <f>IF($B46="","",ROUND($L46-IF($M46="",0,$M46),3))</f>
        <v>0</v>
      </c>
      <c r="O46" s="148">
        <f>IF($B46="","",ROUND(SUMIFS('الحركات المالية'!$F:$F,'الحركات المالية'!$C:$C,"دفعة معلم",'الحركات المالية'!$D:$D,$B46),3))</f>
        <v>0</v>
      </c>
      <c r="P46" s="148">
        <f>IF($B46="","",ROUND($N46-$O46,3))</f>
        <v>0</v>
      </c>
      <c r="Q46" s="36"/>
    </row>
    <row r="47" spans="1:17" x14ac:dyDescent="0.25">
      <c r="A47" s="141" t="str">
        <f>IF($B47="","","TCH-"&amp;TEXT(ROW()-3,"0000"))</f>
        <v>TCH-0044</v>
      </c>
      <c r="B47" s="36" t="s">
        <v>432</v>
      </c>
      <c r="C47" s="36" t="s">
        <v>460</v>
      </c>
      <c r="D47" s="151" t="s">
        <v>499</v>
      </c>
      <c r="E47" s="36" t="s">
        <v>86</v>
      </c>
      <c r="F47" s="36"/>
      <c r="G47" s="36" t="s">
        <v>149</v>
      </c>
      <c r="H47" s="141"/>
      <c r="I47" s="144">
        <f>IF($B47="","",COUNTIF(الطلاب!$Q:$Q,$B47))</f>
        <v>0</v>
      </c>
      <c r="J47" s="144">
        <f>IF($B47="","",SUMPRODUCT((الطلاب!$Q$4:$Q$2000=$B47)*(الطلاب!$B$4:$B$2000&lt;&gt;"")/COUNTIFS(الطلاب!$Q$4:$Q$2000,الطلاب!$Q$4:$Q$2000&amp;"",الطلاب!$B$4:$B$2000,الطلاب!$B$4:$B$2000&amp;"")))</f>
        <v>0</v>
      </c>
      <c r="K47" s="146">
        <f>IF($B47="","",ROUND(SUMIF(الطلاب!$Q:$Q,$B47,الطلاب!$Y:$Y),1))</f>
        <v>0</v>
      </c>
      <c r="L47" s="148">
        <f>IF($B47="","",ROUND(SUMIF(الطلاب!$Q:$Q,$B47,الطلاب!$AH:$AH),3))</f>
        <v>0</v>
      </c>
      <c r="M47" s="39"/>
      <c r="N47" s="148">
        <f>IF($B47="","",ROUND($L47-IF($M47="",0,$M47),3))</f>
        <v>0</v>
      </c>
      <c r="O47" s="148">
        <f>IF($B47="","",ROUND(SUMIFS('الحركات المالية'!$F:$F,'الحركات المالية'!$C:$C,"دفعة معلم",'الحركات المالية'!$D:$D,$B47),3))</f>
        <v>0</v>
      </c>
      <c r="P47" s="148">
        <f>IF($B47="","",ROUND($N47-$O47,3))</f>
        <v>0</v>
      </c>
      <c r="Q47" s="36" t="s">
        <v>524</v>
      </c>
    </row>
    <row r="48" spans="1:17" x14ac:dyDescent="0.25">
      <c r="A48" s="142" t="str">
        <f>IF($B48="","","TCH-"&amp;TEXT(ROW()-3,"0000"))</f>
        <v>TCH-0045</v>
      </c>
      <c r="B48" s="143" t="s">
        <v>433</v>
      </c>
      <c r="C48" s="143" t="s">
        <v>455</v>
      </c>
      <c r="D48" s="152" t="s">
        <v>500</v>
      </c>
      <c r="E48" s="143"/>
      <c r="F48" s="143"/>
      <c r="G48" s="143" t="s">
        <v>149</v>
      </c>
      <c r="H48" s="142"/>
      <c r="I48" s="145">
        <f>IF($B48="","",COUNTIF(الطلاب!$Q:$Q,$B48))</f>
        <v>0</v>
      </c>
      <c r="J48" s="145">
        <f>IF($B48="","",SUMPRODUCT((الطلاب!$Q$4:$Q$2000=$B48)*(الطلاب!$B$4:$B$2000&lt;&gt;"")/COUNTIFS(الطلاب!$Q$4:$Q$2000,الطلاب!$Q$4:$Q$2000&amp;"",الطلاب!$B$4:$B$2000,الطلاب!$B$4:$B$2000&amp;"")))</f>
        <v>0</v>
      </c>
      <c r="K48" s="147">
        <f>IF($B48="","",ROUND(SUMIF(الطلاب!$Q:$Q,$B48,الطلاب!$Y:$Y),1))</f>
        <v>0</v>
      </c>
      <c r="L48" s="149">
        <f>IF($B48="","",ROUND(SUMIF(الطلاب!$Q:$Q,$B48,الطلاب!$AH:$AH),3))</f>
        <v>0</v>
      </c>
      <c r="M48" s="150"/>
      <c r="N48" s="149">
        <f>IF($B48="","",ROUND($L48-IF($M48="",0,$M48),3))</f>
        <v>0</v>
      </c>
      <c r="O48" s="149">
        <f>IF($B48="","",ROUND(SUMIFS('الحركات المالية'!$F:$F,'الحركات المالية'!$C:$C,"دفعة معلم",'الحركات المالية'!$D:$D,$B48),3))</f>
        <v>0</v>
      </c>
      <c r="P48" s="149">
        <f>IF($B48="","",ROUND($N48-$O48,3))</f>
        <v>0</v>
      </c>
      <c r="Q48" s="143"/>
    </row>
    <row r="49" spans="1:17" x14ac:dyDescent="0.25">
      <c r="A49" s="142" t="str">
        <f>IF($B49="","","TCH-"&amp;TEXT(ROW()-3,"0000"))</f>
        <v>TCH-0046</v>
      </c>
      <c r="B49" s="143" t="s">
        <v>419</v>
      </c>
      <c r="C49" s="143" t="s">
        <v>462</v>
      </c>
      <c r="D49" s="152" t="s">
        <v>486</v>
      </c>
      <c r="E49" s="143" t="s">
        <v>86</v>
      </c>
      <c r="F49" s="143"/>
      <c r="G49" s="143" t="s">
        <v>149</v>
      </c>
      <c r="H49" s="142"/>
      <c r="I49" s="145">
        <f>IF($B49="","",COUNTIF(الطلاب!$Q:$Q,$B49))</f>
        <v>0</v>
      </c>
      <c r="J49" s="145">
        <f>IF($B49="","",SUMPRODUCT((الطلاب!$Q$4:$Q$2000=$B49)*(الطلاب!$B$4:$B$2000&lt;&gt;"")/COUNTIFS(الطلاب!$Q$4:$Q$2000,الطلاب!$Q$4:$Q$2000&amp;"",الطلاب!$B$4:$B$2000,الطلاب!$B$4:$B$2000&amp;"")))</f>
        <v>0</v>
      </c>
      <c r="K49" s="147">
        <f>IF($B49="","",ROUND(SUMIF(الطلاب!$Q:$Q,$B49,الطلاب!$Y:$Y),1))</f>
        <v>0</v>
      </c>
      <c r="L49" s="149">
        <f>IF($B49="","",ROUND(SUMIF(الطلاب!$Q:$Q,$B49,الطلاب!$AH:$AH),3))</f>
        <v>0</v>
      </c>
      <c r="M49" s="150"/>
      <c r="N49" s="149">
        <f>IF($B49="","",ROUND($L49-IF($M49="",0,$M49),3))</f>
        <v>0</v>
      </c>
      <c r="O49" s="149">
        <f>IF($B49="","",ROUND(SUMIFS('الحركات المالية'!$F:$F,'الحركات المالية'!$C:$C,"دفعة معلم",'الحركات المالية'!$D:$D,$B49),3))</f>
        <v>0</v>
      </c>
      <c r="P49" s="149">
        <f>IF($B49="","",ROUND($N49-$O49,3))</f>
        <v>0</v>
      </c>
      <c r="Q49" s="143"/>
    </row>
    <row r="50" spans="1:17" x14ac:dyDescent="0.25">
      <c r="A50" s="142" t="str">
        <f>IF($B50="","","TCH-"&amp;TEXT(ROW()-3,"0000"))</f>
        <v>TCH-0047</v>
      </c>
      <c r="B50" s="143" t="s">
        <v>447</v>
      </c>
      <c r="C50" s="143" t="s">
        <v>255</v>
      </c>
      <c r="D50" s="152" t="s">
        <v>514</v>
      </c>
      <c r="E50" s="143"/>
      <c r="F50" s="143"/>
      <c r="G50" s="143" t="s">
        <v>149</v>
      </c>
      <c r="H50" s="142"/>
      <c r="I50" s="145">
        <f>IF($B50="","",COUNTIF(الطلاب!$Q:$Q,$B50))</f>
        <v>0</v>
      </c>
      <c r="J50" s="145">
        <f>IF($B50="","",SUMPRODUCT((الطلاب!$Q$4:$Q$2000=$B50)*(الطلاب!$B$4:$B$2000&lt;&gt;"")/COUNTIFS(الطلاب!$Q$4:$Q$2000,الطلاب!$Q$4:$Q$2000&amp;"",الطلاب!$B$4:$B$2000,الطلاب!$B$4:$B$2000&amp;"")))</f>
        <v>0</v>
      </c>
      <c r="K50" s="147">
        <f>IF($B50="","",ROUND(SUMIF(الطلاب!$Q:$Q,$B50,الطلاب!$Y:$Y),1))</f>
        <v>0</v>
      </c>
      <c r="L50" s="149">
        <f>IF($B50="","",ROUND(SUMIF(الطلاب!$Q:$Q,$B50,الطلاب!$AH:$AH),3))</f>
        <v>0</v>
      </c>
      <c r="M50" s="150"/>
      <c r="N50" s="149">
        <f>IF($B50="","",ROUND($L50-IF($M50="",0,$M50),3))</f>
        <v>0</v>
      </c>
      <c r="O50" s="149">
        <f>IF($B50="","",ROUND(SUMIFS('الحركات المالية'!$F:$F,'الحركات المالية'!$C:$C,"دفعة معلم",'الحركات المالية'!$D:$D,$B50),3))</f>
        <v>0</v>
      </c>
      <c r="P50" s="149">
        <f>IF($B50="","",ROUND($N50-$O50,3))</f>
        <v>0</v>
      </c>
      <c r="Q50" s="143"/>
    </row>
    <row r="51" spans="1:17" x14ac:dyDescent="0.25">
      <c r="A51" s="142" t="str">
        <f>IF($B51="","","TCH-"&amp;TEXT(ROW()-3,"0000"))</f>
        <v>TCH-0048</v>
      </c>
      <c r="B51" s="143" t="s">
        <v>409</v>
      </c>
      <c r="C51" s="143" t="s">
        <v>457</v>
      </c>
      <c r="D51" s="152" t="s">
        <v>476</v>
      </c>
      <c r="E51" s="143" t="s">
        <v>521</v>
      </c>
      <c r="F51" s="143"/>
      <c r="G51" s="143" t="s">
        <v>149</v>
      </c>
      <c r="H51" s="142"/>
      <c r="I51" s="145">
        <f>IF($B51="","",COUNTIF(الطلاب!$Q:$Q,$B51))</f>
        <v>0</v>
      </c>
      <c r="J51" s="145">
        <f>IF($B51="","",SUMPRODUCT((الطلاب!$Q$4:$Q$2000=$B51)*(الطلاب!$B$4:$B$2000&lt;&gt;"")/COUNTIFS(الطلاب!$Q$4:$Q$2000,الطلاب!$Q$4:$Q$2000&amp;"",الطلاب!$B$4:$B$2000,الطلاب!$B$4:$B$2000&amp;"")))</f>
        <v>0</v>
      </c>
      <c r="K51" s="147">
        <f>IF($B51="","",ROUND(SUMIF(الطلاب!$Q:$Q,$B51,الطلاب!$Y:$Y),1))</f>
        <v>0</v>
      </c>
      <c r="L51" s="149">
        <f>IF($B51="","",ROUND(SUMIF(الطلاب!$Q:$Q,$B51,الطلاب!$AH:$AH),3))</f>
        <v>0</v>
      </c>
      <c r="M51" s="150"/>
      <c r="N51" s="149">
        <f>IF($B51="","",ROUND($L51-IF($M51="",0,$M51),3))</f>
        <v>0</v>
      </c>
      <c r="O51" s="149">
        <f>IF($B51="","",ROUND(SUMIFS('الحركات المالية'!$F:$F,'الحركات المالية'!$C:$C,"دفعة معلم",'الحركات المالية'!$D:$D,$B51),3))</f>
        <v>0</v>
      </c>
      <c r="P51" s="149">
        <f>IF($B51="","",ROUND($N51-$O51,3))</f>
        <v>0</v>
      </c>
      <c r="Q51" s="143"/>
    </row>
    <row r="52" spans="1:17" x14ac:dyDescent="0.25">
      <c r="A52" s="141" t="str">
        <f>IF($B52="","","TCH-"&amp;TEXT(ROW()-3,"0000"))</f>
        <v>TCH-0049</v>
      </c>
      <c r="B52" s="36" t="s">
        <v>446</v>
      </c>
      <c r="C52" s="36" t="s">
        <v>90</v>
      </c>
      <c r="D52" s="151" t="s">
        <v>513</v>
      </c>
      <c r="E52" s="36" t="s">
        <v>128</v>
      </c>
      <c r="F52" s="36"/>
      <c r="G52" s="36" t="s">
        <v>149</v>
      </c>
      <c r="H52" s="141"/>
      <c r="I52" s="144">
        <f>IF($B52="","",COUNTIF(الطلاب!$Q:$Q,$B52))</f>
        <v>0</v>
      </c>
      <c r="J52" s="144">
        <f>IF($B52="","",SUMPRODUCT((الطلاب!$Q$4:$Q$2000=$B52)*(الطلاب!$B$4:$B$2000&lt;&gt;"")/COUNTIFS(الطلاب!$Q$4:$Q$2000,الطلاب!$Q$4:$Q$2000&amp;"",الطلاب!$B$4:$B$2000,الطلاب!$B$4:$B$2000&amp;"")))</f>
        <v>0</v>
      </c>
      <c r="K52" s="146">
        <f>IF($B52="","",ROUND(SUMIF(الطلاب!$Q:$Q,$B52,الطلاب!$Y:$Y),1))</f>
        <v>0</v>
      </c>
      <c r="L52" s="148">
        <f>IF($B52="","",ROUND(SUMIF(الطلاب!$Q:$Q,$B52,الطلاب!$AH:$AH),3))</f>
        <v>0</v>
      </c>
      <c r="M52" s="39"/>
      <c r="N52" s="148">
        <f>IF($B52="","",ROUND($L52-IF($M52="",0,$M52),3))</f>
        <v>0</v>
      </c>
      <c r="O52" s="148">
        <f>IF($B52="","",ROUND(SUMIFS('الحركات المالية'!$F:$F,'الحركات المالية'!$C:$C,"دفعة معلم",'الحركات المالية'!$D:$D,$B52),3))</f>
        <v>0</v>
      </c>
      <c r="P52" s="148">
        <f>IF($B52="","",ROUND($N52-$O52,3))</f>
        <v>0</v>
      </c>
      <c r="Q52" s="36"/>
    </row>
    <row r="53" spans="1:17" x14ac:dyDescent="0.25">
      <c r="A53" s="142" t="str">
        <f>IF($B53="","","TCH-"&amp;TEXT(ROW()-3,"0000"))</f>
        <v>TCH-0050</v>
      </c>
      <c r="B53" s="143" t="s">
        <v>411</v>
      </c>
      <c r="C53" s="143" t="s">
        <v>276</v>
      </c>
      <c r="D53" s="152" t="s">
        <v>478</v>
      </c>
      <c r="E53" s="143" t="s">
        <v>86</v>
      </c>
      <c r="F53" s="143"/>
      <c r="G53" s="143" t="s">
        <v>149</v>
      </c>
      <c r="H53" s="142"/>
      <c r="I53" s="145">
        <f>IF($B53="","",COUNTIF(الطلاب!$Q:$Q,$B53))</f>
        <v>0</v>
      </c>
      <c r="J53" s="145">
        <f>IF($B53="","",SUMPRODUCT((الطلاب!$Q$4:$Q$2000=$B53)*(الطلاب!$B$4:$B$2000&lt;&gt;"")/COUNTIFS(الطلاب!$Q$4:$Q$2000,الطلاب!$Q$4:$Q$2000&amp;"",الطلاب!$B$4:$B$2000,الطلاب!$B$4:$B$2000&amp;"")))</f>
        <v>0</v>
      </c>
      <c r="K53" s="147">
        <f>IF($B53="","",ROUND(SUMIF(الطلاب!$Q:$Q,$B53,الطلاب!$Y:$Y),1))</f>
        <v>0</v>
      </c>
      <c r="L53" s="149">
        <f>IF($B53="","",ROUND(SUMIF(الطلاب!$Q:$Q,$B53,الطلاب!$AH:$AH),3))</f>
        <v>0</v>
      </c>
      <c r="M53" s="150"/>
      <c r="N53" s="149">
        <f>IF($B53="","",ROUND($L53-IF($M53="",0,$M53),3))</f>
        <v>0</v>
      </c>
      <c r="O53" s="149">
        <f>IF($B53="","",ROUND(SUMIFS('الحركات المالية'!$F:$F,'الحركات المالية'!$C:$C,"دفعة معلم",'الحركات المالية'!$D:$D,$B53),3))</f>
        <v>0</v>
      </c>
      <c r="P53" s="149">
        <f>IF($B53="","",ROUND($N53-$O53,3))</f>
        <v>0</v>
      </c>
      <c r="Q53" s="143"/>
    </row>
    <row r="54" spans="1:17" x14ac:dyDescent="0.25">
      <c r="A54" s="141" t="str">
        <f>IF($B54="","","TCH-"&amp;TEXT(ROW()-3,"0000"))</f>
        <v>TCH-0051</v>
      </c>
      <c r="B54" s="36" t="s">
        <v>452</v>
      </c>
      <c r="C54" s="36" t="s">
        <v>466</v>
      </c>
      <c r="D54" s="151" t="s">
        <v>519</v>
      </c>
      <c r="E54" s="36" t="s">
        <v>107</v>
      </c>
      <c r="F54" s="36"/>
      <c r="G54" s="36" t="s">
        <v>149</v>
      </c>
      <c r="H54" s="141"/>
      <c r="I54" s="144">
        <f>IF($B54="","",COUNTIF(الطلاب!$Q:$Q,$B54))</f>
        <v>0</v>
      </c>
      <c r="J54" s="144">
        <f>IF($B54="","",SUMPRODUCT((الطلاب!$Q$4:$Q$2000=$B54)*(الطلاب!$B$4:$B$2000&lt;&gt;"")/COUNTIFS(الطلاب!$Q$4:$Q$2000,الطلاب!$Q$4:$Q$2000&amp;"",الطلاب!$B$4:$B$2000,الطلاب!$B$4:$B$2000&amp;"")))</f>
        <v>0</v>
      </c>
      <c r="K54" s="146">
        <f>IF($B54="","",ROUND(SUMIF(الطلاب!$Q:$Q,$B54,الطلاب!$Y:$Y),1))</f>
        <v>0</v>
      </c>
      <c r="L54" s="148">
        <f>IF($B54="","",ROUND(SUMIF(الطلاب!$Q:$Q,$B54,الطلاب!$AH:$AH),3))</f>
        <v>0</v>
      </c>
      <c r="M54" s="39"/>
      <c r="N54" s="148">
        <f>IF($B54="","",ROUND($L54-IF($M54="",0,$M54),3))</f>
        <v>0</v>
      </c>
      <c r="O54" s="148">
        <f>IF($B54="","",ROUND(SUMIFS('الحركات المالية'!$F:$F,'الحركات المالية'!$C:$C,"دفعة معلم",'الحركات المالية'!$D:$D,$B54),3))</f>
        <v>0</v>
      </c>
      <c r="P54" s="148">
        <f>IF($B54="","",ROUND($N54-$O54,3))</f>
        <v>0</v>
      </c>
      <c r="Q54" s="36"/>
    </row>
    <row r="55" spans="1:17" x14ac:dyDescent="0.25">
      <c r="A55" s="142" t="str">
        <f>IF($B55="","","TCH-"&amp;TEXT(ROW()-3,"0000"))</f>
        <v>TCH-0052</v>
      </c>
      <c r="B55" s="143" t="s">
        <v>449</v>
      </c>
      <c r="C55" s="143" t="s">
        <v>205</v>
      </c>
      <c r="D55" s="152" t="s">
        <v>516</v>
      </c>
      <c r="E55" s="143" t="s">
        <v>211</v>
      </c>
      <c r="F55" s="143"/>
      <c r="G55" s="143" t="s">
        <v>149</v>
      </c>
      <c r="H55" s="142"/>
      <c r="I55" s="145">
        <f>IF($B55="","",COUNTIF(الطلاب!$Q:$Q,$B55))</f>
        <v>0</v>
      </c>
      <c r="J55" s="145">
        <f>IF($B55="","",SUMPRODUCT((الطلاب!$Q$4:$Q$2000=$B55)*(الطلاب!$B$4:$B$2000&lt;&gt;"")/COUNTIFS(الطلاب!$Q$4:$Q$2000,الطلاب!$Q$4:$Q$2000&amp;"",الطلاب!$B$4:$B$2000,الطلاب!$B$4:$B$2000&amp;"")))</f>
        <v>0</v>
      </c>
      <c r="K55" s="147">
        <f>IF($B55="","",ROUND(SUMIF(الطلاب!$Q:$Q,$B55,الطلاب!$Y:$Y),1))</f>
        <v>0</v>
      </c>
      <c r="L55" s="149">
        <f>IF($B55="","",ROUND(SUMIF(الطلاب!$Q:$Q,$B55,الطلاب!$AH:$AH),3))</f>
        <v>0</v>
      </c>
      <c r="M55" s="150"/>
      <c r="N55" s="149">
        <f>IF($B55="","",ROUND($L55-IF($M55="",0,$M55),3))</f>
        <v>0</v>
      </c>
      <c r="O55" s="149">
        <f>IF($B55="","",ROUND(SUMIFS('الحركات المالية'!$F:$F,'الحركات المالية'!$C:$C,"دفعة معلم",'الحركات المالية'!$D:$D,$B55),3))</f>
        <v>0</v>
      </c>
      <c r="P55" s="149">
        <f>IF($B55="","",ROUND($N55-$O55,3))</f>
        <v>0</v>
      </c>
      <c r="Q55" s="143"/>
    </row>
    <row r="56" spans="1:17" x14ac:dyDescent="0.25">
      <c r="A56" s="141" t="str">
        <f>IF($B56="","","TCH-"&amp;TEXT(ROW()-3,"0000"))</f>
        <v>TCH-0053</v>
      </c>
      <c r="B56" s="36" t="s">
        <v>410</v>
      </c>
      <c r="C56" s="36" t="s">
        <v>276</v>
      </c>
      <c r="D56" s="151" t="s">
        <v>477</v>
      </c>
      <c r="E56" s="36" t="s">
        <v>86</v>
      </c>
      <c r="F56" s="36"/>
      <c r="G56" s="36" t="s">
        <v>149</v>
      </c>
      <c r="H56" s="141"/>
      <c r="I56" s="144">
        <f>IF($B56="","",COUNTIF(الطلاب!$Q:$Q,$B56))</f>
        <v>0</v>
      </c>
      <c r="J56" s="144">
        <f>IF($B56="","",SUMPRODUCT((الطلاب!$Q$4:$Q$2000=$B56)*(الطلاب!$B$4:$B$2000&lt;&gt;"")/COUNTIFS(الطلاب!$Q$4:$Q$2000,الطلاب!$Q$4:$Q$2000&amp;"",الطلاب!$B$4:$B$2000,الطلاب!$B$4:$B$2000&amp;"")))</f>
        <v>0</v>
      </c>
      <c r="K56" s="146">
        <f>IF($B56="","",ROUND(SUMIF(الطلاب!$Q:$Q,$B56,الطلاب!$Y:$Y),1))</f>
        <v>0</v>
      </c>
      <c r="L56" s="148">
        <f>IF($B56="","",ROUND(SUMIF(الطلاب!$Q:$Q,$B56,الطلاب!$AH:$AH),3))</f>
        <v>0</v>
      </c>
      <c r="M56" s="39"/>
      <c r="N56" s="148">
        <f>IF($B56="","",ROUND($L56-IF($M56="",0,$M56),3))</f>
        <v>0</v>
      </c>
      <c r="O56" s="148">
        <f>IF($B56="","",ROUND(SUMIFS('الحركات المالية'!$F:$F,'الحركات المالية'!$C:$C,"دفعة معلم",'الحركات المالية'!$D:$D,$B56),3))</f>
        <v>0</v>
      </c>
      <c r="P56" s="148">
        <f>IF($B56="","",ROUND($N56-$O56,3))</f>
        <v>0</v>
      </c>
      <c r="Q56" s="36"/>
    </row>
  </sheetData>
  <mergeCells count="1">
    <mergeCell ref="A1:Q1"/>
  </mergeCells>
  <dataValidations count="1">
    <dataValidation type="custom" allowBlank="1" showInputMessage="1" showErrorMessage="1" errorTitle="خطأ في رقم الهاتف" error="يجب أن يتكون رقم الهاتف من 8 أرقام بالضبط." promptTitle="رقم الهاتف" prompt="أدخل رقم هاتف مكوّن من 8 أرقام." sqref="D4:D100" xr:uid="{6CC1685B-20C7-415C-96FF-4C9C94BBA120}">
      <formula1>AND(ISNUMBER(D4+0),LEN(TEXT(D4,"0"))=8)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EF988FA-3659-4FC5-BC4F-3838F7692BBB}">
            <xm:f>COUNTIFS(الطلاب!$Q:$Q,$B4,الطلاب!$R:$R,CHOOSE(WEEKDAY(TODAY()),"الأحد","الإثنين","الثلاثاء","الأربعاء","الخميس","الجمعة","السبت"))+COUNTIFS(الطلاب!$Q:$Q,$B4,الطلاب!$U:$U,CHOOSE(WEEKDAY(TODAY()),"الأحد","الإثنين","الثلاثاء","الأربعاء","الخميس","الجمعة","السبت"))&gt;0</xm:f>
            <x14:dxf>
              <fill>
                <patternFill patternType="solid">
                  <fgColor indexed="64"/>
                  <bgColor rgb="FFFFFF00"/>
                </patternFill>
              </fill>
            </x14:dxf>
          </x14:cfRule>
          <xm:sqref>B4:B56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errorTitle="إدخال غير صحيح" error="قيمة غير مسموحة — اختر من القائمة." xr:uid="{00000000-0002-0000-0200-000000000000}">
          <x14:formula1>
            <xm:f>الإعدادات!$F$11:$F$31</xm:f>
          </x14:formula1>
          <xm:sqref>C4:C5000</xm:sqref>
        </x14:dataValidation>
        <x14:dataValidation type="list" allowBlank="1" showErrorMessage="1" errorTitle="إدخال غير صحيح" error="قيمة غير مسموحة — اختر من القائمة." xr:uid="{00000000-0002-0000-0200-000001000000}">
          <x14:formula1>
            <xm:f>الإعدادات!$J$11:$J$16</xm:f>
          </x14:formula1>
          <xm:sqref>E4:E5000</xm:sqref>
        </x14:dataValidation>
        <x14:dataValidation type="list" allowBlank="1" showErrorMessage="1" errorTitle="إدخال غير صحيح" error="قيمة غير مسموحة — اختر من القائمة." xr:uid="{00000000-0002-0000-0200-000002000000}">
          <x14:formula1>
            <xm:f>الإعدادات!$N$11:$N$12</xm:f>
          </x14:formula1>
          <xm:sqref>F4:F5000</xm:sqref>
        </x14:dataValidation>
        <x14:dataValidation type="list" allowBlank="1" showErrorMessage="1" errorTitle="إدخال غير صحيح" error="قيمة غير مسموحة — اختر من القائمة." xr:uid="{00000000-0002-0000-0200-000003000000}">
          <x14:formula1>
            <xm:f>الإعدادات!$H$11:$H$12</xm:f>
          </x14:formula1>
          <xm:sqref>G4:G5000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BF8F00"/>
  </sheetPr>
  <dimension ref="A1:K11"/>
  <sheetViews>
    <sheetView showGridLines="0" rightToLeft="1" workbookViewId="0">
      <pane xSplit="2" ySplit="3" topLeftCell="C4" activePane="bottomRight" state="frozen"/>
      <selection pane="topRight"/>
      <selection pane="bottomLeft"/>
      <selection pane="bottomRight" sqref="A1:K1"/>
    </sheetView>
  </sheetViews>
  <sheetFormatPr defaultRowHeight="13.8" x14ac:dyDescent="0.25"/>
  <cols>
    <col min="1" max="1" width="11" style="93" customWidth="1"/>
    <col min="2" max="3" width="12" style="93" customWidth="1"/>
    <col min="4" max="4" width="22" style="93" customWidth="1"/>
    <col min="5" max="5" width="17" style="93" customWidth="1"/>
    <col min="6" max="6" width="12" style="93" customWidth="1"/>
    <col min="7" max="7" width="11" style="93" customWidth="1"/>
    <col min="8" max="8" width="12" style="93" customWidth="1"/>
    <col min="9" max="10" width="15" style="93" customWidth="1"/>
    <col min="11" max="11" width="16" style="93" customWidth="1"/>
    <col min="12" max="16384" width="8.796875" style="93"/>
  </cols>
  <sheetData>
    <row r="1" spans="1:11" ht="24" customHeight="1" x14ac:dyDescent="0.3">
      <c r="A1" s="156" t="s">
        <v>151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</row>
    <row r="2" spans="1:11" ht="18" customHeight="1" x14ac:dyDescent="0.25">
      <c r="A2" s="1" t="str">
        <f>HYPERLINK("#'لوحة التحكم'!A1","🏠 لوحة التحكم")</f>
        <v>🏠 لوحة التحكم</v>
      </c>
      <c r="B2" s="1" t="str">
        <f>HYPERLINK("#'الطلاب'!A1","👥 الطلاب")</f>
        <v>👥 الطلاب</v>
      </c>
      <c r="C2" s="1" t="str">
        <f>HYPERLINK("#'المعلمون'!A1","👨‍🏫 المعلمون")</f>
        <v>👨‍🏫 المعلمون</v>
      </c>
      <c r="D2" s="1" t="str">
        <f>HYPERLINK("#'الحركات المالية'!A1","💰 الحركات المالية")</f>
        <v>💰 الحركات المالية</v>
      </c>
      <c r="E2" s="1" t="str">
        <f>HYPERLINK("#'الإعدادات'!A1","⚙️ الإعدادات")</f>
        <v>⚙️ الإعدادات</v>
      </c>
    </row>
    <row r="3" spans="1:11" ht="31.95" customHeight="1" x14ac:dyDescent="0.25">
      <c r="A3" s="16" t="s">
        <v>152</v>
      </c>
      <c r="B3" s="16" t="s">
        <v>153</v>
      </c>
      <c r="C3" s="16" t="s">
        <v>154</v>
      </c>
      <c r="D3" s="16" t="s">
        <v>155</v>
      </c>
      <c r="E3" s="16" t="s">
        <v>156</v>
      </c>
      <c r="F3" s="16" t="s">
        <v>157</v>
      </c>
      <c r="G3" s="16" t="s">
        <v>158</v>
      </c>
      <c r="H3" s="16" t="s">
        <v>159</v>
      </c>
      <c r="I3" s="16" t="s">
        <v>160</v>
      </c>
      <c r="J3" s="16" t="s">
        <v>161</v>
      </c>
      <c r="K3" s="16" t="s">
        <v>79</v>
      </c>
    </row>
    <row r="4" spans="1:11" x14ac:dyDescent="0.25">
      <c r="A4" s="6" t="str">
        <f t="shared" ref="A4:A11" si="0">IF($C4="","","MOV-"&amp;TEXT(ROW()-3,"0000"))</f>
        <v>MOV-0001</v>
      </c>
      <c r="B4" s="18">
        <v>46054</v>
      </c>
      <c r="C4" s="17" t="s">
        <v>162</v>
      </c>
      <c r="D4" s="17" t="s">
        <v>80</v>
      </c>
      <c r="E4" s="17"/>
      <c r="F4" s="19">
        <v>56</v>
      </c>
      <c r="G4" s="17" t="s">
        <v>163</v>
      </c>
      <c r="H4" s="17" t="s">
        <v>164</v>
      </c>
      <c r="I4" s="8">
        <f>IF($C4="دفعة طالب",ROUND(SUMIF(الطلاب!$B:$B,$D4,الطلاب!$AA:$AA),3),IF($C4="دفعة معلم",IFERROR(INDEX(المعلمون!$P:$P,MATCH($D4,المعلمون!$B:$B,0)),"⚠"),""))</f>
        <v>64</v>
      </c>
      <c r="J4" s="6" t="str">
        <f t="shared" ref="J4:J11" si="1">IF($C4="","",IF(AND(OR($C4="دفعة طالب",$C4="دفعة معلم"),$D4=""),"⚠ حدد الاسم",IF(AND($C4="مصروف",$E4=""),"⚠ حدد البند",IF($F4&lt;=0,"⚠ المبلغ صفر","سليم"))))</f>
        <v>سليم</v>
      </c>
      <c r="K4" s="17"/>
    </row>
    <row r="5" spans="1:11" x14ac:dyDescent="0.25">
      <c r="A5" s="20" t="str">
        <f t="shared" si="0"/>
        <v>MOV-0002</v>
      </c>
      <c r="B5" s="24">
        <v>46054</v>
      </c>
      <c r="C5" s="21" t="s">
        <v>162</v>
      </c>
      <c r="D5" s="21" t="s">
        <v>97</v>
      </c>
      <c r="E5" s="21"/>
      <c r="F5" s="23">
        <v>30</v>
      </c>
      <c r="G5" s="21" t="s">
        <v>165</v>
      </c>
      <c r="H5" s="21"/>
      <c r="I5" s="22">
        <f>IF($C5="دفعة طالب",ROUND(SUMIF(الطلاب!$B:$B,$D5,الطلاب!$AA:$AA),3),IF($C5="دفعة معلم",IFERROR(INDEX(المعلمون!$P:$P,MATCH($D5,المعلمون!$B:$B,0)),"⚠"),""))</f>
        <v>15</v>
      </c>
      <c r="J5" s="20" t="str">
        <f t="shared" si="1"/>
        <v>سليم</v>
      </c>
      <c r="K5" s="21"/>
    </row>
    <row r="6" spans="1:11" x14ac:dyDescent="0.25">
      <c r="A6" s="6" t="str">
        <f t="shared" si="0"/>
        <v>MOV-0003</v>
      </c>
      <c r="B6" s="18">
        <v>46058</v>
      </c>
      <c r="C6" s="17" t="s">
        <v>162</v>
      </c>
      <c r="D6" s="17" t="s">
        <v>102</v>
      </c>
      <c r="E6" s="17"/>
      <c r="F6" s="19">
        <v>60</v>
      </c>
      <c r="G6" s="17" t="s">
        <v>166</v>
      </c>
      <c r="H6" s="17" t="s">
        <v>167</v>
      </c>
      <c r="I6" s="8">
        <f>IF($C6="دفعة طالب",ROUND(SUMIF(الطلاب!$B:$B,$D6,الطلاب!$AA:$AA),3),IF($C6="دفعة معلم",IFERROR(INDEX(المعلمون!$P:$P,MATCH($D6,المعلمون!$B:$B,0)),"⚠"),""))</f>
        <v>24</v>
      </c>
      <c r="J6" s="6" t="str">
        <f t="shared" si="1"/>
        <v>سليم</v>
      </c>
      <c r="K6" s="17"/>
    </row>
    <row r="7" spans="1:11" x14ac:dyDescent="0.25">
      <c r="A7" s="20" t="str">
        <f t="shared" si="0"/>
        <v>MOV-0004</v>
      </c>
      <c r="B7" s="24">
        <v>46067</v>
      </c>
      <c r="C7" s="21" t="s">
        <v>162</v>
      </c>
      <c r="D7" s="21" t="s">
        <v>124</v>
      </c>
      <c r="E7" s="21"/>
      <c r="F7" s="23">
        <v>10</v>
      </c>
      <c r="G7" s="21" t="s">
        <v>165</v>
      </c>
      <c r="H7" s="21"/>
      <c r="I7" s="22">
        <f>IF($C7="دفعة طالب",ROUND(SUMIF(الطلاب!$B:$B,$D7,الطلاب!$AA:$AA),3),IF($C7="دفعة معلم",IFERROR(INDEX(المعلمون!$P:$P,MATCH($D7,المعلمون!$B:$B,0)),"⚠"),""))</f>
        <v>12</v>
      </c>
      <c r="J7" s="20" t="str">
        <f t="shared" si="1"/>
        <v>سليم</v>
      </c>
      <c r="K7" s="21"/>
    </row>
    <row r="8" spans="1:11" x14ac:dyDescent="0.25">
      <c r="A8" s="6" t="str">
        <f t="shared" si="0"/>
        <v>MOV-0005</v>
      </c>
      <c r="B8" s="18">
        <v>46082</v>
      </c>
      <c r="C8" s="17" t="s">
        <v>168</v>
      </c>
      <c r="D8" s="17" t="s">
        <v>95</v>
      </c>
      <c r="E8" s="17"/>
      <c r="F8" s="19">
        <v>20</v>
      </c>
      <c r="G8" s="17" t="s">
        <v>166</v>
      </c>
      <c r="H8" s="17"/>
      <c r="I8" s="8" t="str">
        <f>IF($C8="دفعة طالب",ROUND(SUMIF(الطلاب!$B:$B,$D8,الطلاب!$AA:$AA),3),IF($C8="دفعة معلم",IFERROR(INDEX(المعلمون!$P:$P,MATCH($D8,المعلمون!$B:$B,0)),"⚠"),""))</f>
        <v>⚠</v>
      </c>
      <c r="J8" s="6" t="str">
        <f t="shared" si="1"/>
        <v>سليم</v>
      </c>
      <c r="K8" s="17" t="s">
        <v>169</v>
      </c>
    </row>
    <row r="9" spans="1:11" x14ac:dyDescent="0.25">
      <c r="A9" s="20" t="str">
        <f t="shared" si="0"/>
        <v>MOV-0006</v>
      </c>
      <c r="B9" s="24">
        <v>46081</v>
      </c>
      <c r="C9" s="21" t="s">
        <v>170</v>
      </c>
      <c r="D9" s="21"/>
      <c r="E9" s="21" t="s">
        <v>171</v>
      </c>
      <c r="F9" s="23">
        <v>8</v>
      </c>
      <c r="G9" s="21"/>
      <c r="H9" s="21"/>
      <c r="I9" s="22" t="str">
        <f>IF($C9="دفعة طالب",ROUND(SUMIF(الطلاب!$B:$B,$D9,الطلاب!$AA:$AA),3),IF($C9="دفعة معلم",IFERROR(INDEX(المعلمون!$P:$P,MATCH($D9,المعلمون!$B:$B,0)),"⚠"),""))</f>
        <v/>
      </c>
      <c r="J9" s="20" t="str">
        <f t="shared" si="1"/>
        <v>سليم</v>
      </c>
      <c r="K9" s="21" t="s">
        <v>172</v>
      </c>
    </row>
    <row r="10" spans="1:11" x14ac:dyDescent="0.25">
      <c r="A10" s="6" t="str">
        <f t="shared" si="0"/>
        <v>MOV-0007</v>
      </c>
      <c r="B10" s="18">
        <v>46081</v>
      </c>
      <c r="C10" s="17" t="s">
        <v>170</v>
      </c>
      <c r="D10" s="17"/>
      <c r="E10" s="17" t="s">
        <v>173</v>
      </c>
      <c r="F10" s="19">
        <v>5</v>
      </c>
      <c r="G10" s="17"/>
      <c r="H10" s="17"/>
      <c r="I10" s="8" t="str">
        <f>IF($C10="دفعة طالب",ROUND(SUMIF(الطلاب!$B:$B,$D10,الطلاب!$AA:$AA),3),IF($C10="دفعة معلم",IFERROR(INDEX(المعلمون!$P:$P,MATCH($D10,المعلمون!$B:$B,0)),"⚠"),""))</f>
        <v/>
      </c>
      <c r="J10" s="6" t="str">
        <f t="shared" si="1"/>
        <v>سليم</v>
      </c>
      <c r="K10" s="17"/>
    </row>
    <row r="11" spans="1:11" x14ac:dyDescent="0.25">
      <c r="A11" s="20" t="str">
        <f t="shared" si="0"/>
        <v>MOV-0008</v>
      </c>
      <c r="B11" s="24">
        <v>46112</v>
      </c>
      <c r="C11" s="21" t="s">
        <v>170</v>
      </c>
      <c r="D11" s="21"/>
      <c r="E11" s="21" t="s">
        <v>171</v>
      </c>
      <c r="F11" s="23">
        <v>4</v>
      </c>
      <c r="G11" s="21"/>
      <c r="H11" s="21"/>
      <c r="I11" s="22" t="str">
        <f>IF($C11="دفعة طالب",ROUND(SUMIF(الطلاب!$B:$B,$D11,الطلاب!$AA:$AA),3),IF($C11="دفعة معلم",IFERROR(INDEX(المعلمون!$P:$P,MATCH($D11,المعلمون!$B:$B,0)),"⚠"),""))</f>
        <v/>
      </c>
      <c r="J11" s="20" t="str">
        <f t="shared" si="1"/>
        <v>سليم</v>
      </c>
      <c r="K11" s="21"/>
    </row>
  </sheetData>
  <mergeCells count="1">
    <mergeCell ref="A1:K1"/>
  </mergeCells>
  <dataValidations count="1">
    <dataValidation type="list" allowBlank="1" showErrorMessage="1" errorTitle="إدخال غير صحيح" error="قيمة غير مسموحة — اختر من القائمة." sqref="D4:D5000" xr:uid="{00000000-0002-0000-0300-000001000000}">
      <formula1>IF($C4="دفعة معلم",TCH_NAMES,STU_NAMES)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إدخال غير صحيح" error="قيمة غير مسموحة — اختر من القائمة." xr:uid="{00000000-0002-0000-0300-000000000000}">
          <x14:formula1>
            <xm:f>الإعدادات!$L$11:$L$13</xm:f>
          </x14:formula1>
          <xm:sqref>C4:C5000</xm:sqref>
        </x14:dataValidation>
        <x14:dataValidation type="list" allowBlank="1" showErrorMessage="1" errorTitle="إدخال غير صحيح" error="قيمة غير مسموحة — اختر من القائمة." xr:uid="{00000000-0002-0000-0300-000002000000}">
          <x14:formula1>
            <xm:f>الإعدادات!$M$11:$M$15</xm:f>
          </x14:formula1>
          <xm:sqref>E4:E5000</xm:sqref>
        </x14:dataValidation>
        <x14:dataValidation type="list" allowBlank="1" showErrorMessage="1" errorTitle="إدخال غير صحيح" error="قيمة غير مسموحة — اختر من القائمة." xr:uid="{00000000-0002-0000-0300-000003000000}">
          <x14:formula1>
            <xm:f>الإعدادات!$K$11:$K$14</xm:f>
          </x14:formula1>
          <xm:sqref>G4:G5000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F7F7F"/>
  </sheetPr>
  <dimension ref="A1:AH40"/>
  <sheetViews>
    <sheetView showGridLines="0" rightToLeft="1" workbookViewId="0">
      <selection activeCell="D2" sqref="D2"/>
    </sheetView>
  </sheetViews>
  <sheetFormatPr defaultRowHeight="13.8" x14ac:dyDescent="0.25"/>
  <cols>
    <col min="1" max="1" width="24" customWidth="1"/>
    <col min="2" max="2" width="14" customWidth="1"/>
    <col min="3" max="3" width="46" customWidth="1"/>
    <col min="6" max="21" width="17" customWidth="1"/>
    <col min="23" max="23" width="15" customWidth="1"/>
    <col min="24" max="24" width="10" customWidth="1"/>
    <col min="26" max="31" width="16" customWidth="1"/>
  </cols>
  <sheetData>
    <row r="1" spans="1:34" ht="17.399999999999999" x14ac:dyDescent="0.3">
      <c r="A1" s="153" t="s">
        <v>174</v>
      </c>
      <c r="B1" s="154"/>
      <c r="C1" s="154"/>
      <c r="D1" s="154"/>
    </row>
    <row r="2" spans="1:34" ht="18" customHeight="1" x14ac:dyDescent="0.25">
      <c r="A2" s="1" t="str">
        <f>HYPERLINK("#'لوحة التحكم'!A1","🏠 لوحة التحكم")</f>
        <v>🏠 لوحة التحكم</v>
      </c>
      <c r="B2" s="1" t="str">
        <f>HYPERLINK("#'الطلاب'!A1","👥 الطلاب")</f>
        <v>👥 الطلاب</v>
      </c>
      <c r="C2" s="1" t="str">
        <f>HYPERLINK("#'المعلمون'!A1","👨‍🏫 المعلمون")</f>
        <v>👨‍🏫 المعلمون</v>
      </c>
      <c r="D2" s="1" t="str">
        <f>HYPERLINK("#'الحركات المالية'!A1","💰 الحركات المالية")</f>
        <v>💰 الحركات المالية</v>
      </c>
      <c r="E2" s="1" t="str">
        <f>HYPERLINK("#'الإعدادات'!A1","⚙️ الإعدادات")</f>
        <v>⚙️ الإعدادات</v>
      </c>
    </row>
    <row r="4" spans="1:34" x14ac:dyDescent="0.25">
      <c r="A4" s="155" t="s">
        <v>175</v>
      </c>
      <c r="B4" s="154"/>
      <c r="C4" s="154"/>
      <c r="D4" s="154"/>
    </row>
    <row r="5" spans="1:34" x14ac:dyDescent="0.25">
      <c r="A5" s="25" t="s">
        <v>176</v>
      </c>
      <c r="B5" s="26" t="s">
        <v>177</v>
      </c>
      <c r="C5" s="27" t="s">
        <v>178</v>
      </c>
    </row>
    <row r="6" spans="1:34" x14ac:dyDescent="0.25">
      <c r="A6" s="25" t="s">
        <v>179</v>
      </c>
      <c r="B6" s="28">
        <v>2026</v>
      </c>
      <c r="C6" s="27" t="s">
        <v>180</v>
      </c>
    </row>
    <row r="7" spans="1:34" x14ac:dyDescent="0.25">
      <c r="A7" s="25" t="s">
        <v>181</v>
      </c>
      <c r="B7" s="29">
        <v>2</v>
      </c>
      <c r="C7" s="27" t="s">
        <v>182</v>
      </c>
    </row>
    <row r="8" spans="1:34" x14ac:dyDescent="0.25">
      <c r="A8" s="25" t="s">
        <v>183</v>
      </c>
      <c r="B8" s="30">
        <v>0.75</v>
      </c>
      <c r="C8" s="27" t="s">
        <v>184</v>
      </c>
    </row>
    <row r="9" spans="1:34" x14ac:dyDescent="0.25">
      <c r="A9" s="155" t="s">
        <v>185</v>
      </c>
      <c r="B9" s="154"/>
      <c r="C9" s="154"/>
      <c r="D9" s="154"/>
    </row>
    <row r="10" spans="1:34" x14ac:dyDescent="0.25">
      <c r="A10" s="5" t="s">
        <v>12</v>
      </c>
      <c r="B10" s="5" t="s">
        <v>186</v>
      </c>
      <c r="F10" s="5" t="s">
        <v>187</v>
      </c>
      <c r="G10" s="5" t="s">
        <v>188</v>
      </c>
      <c r="H10" s="5" t="s">
        <v>189</v>
      </c>
      <c r="I10" s="5" t="s">
        <v>59</v>
      </c>
      <c r="J10" s="5" t="s">
        <v>190</v>
      </c>
      <c r="K10" s="5" t="s">
        <v>191</v>
      </c>
      <c r="L10" s="5" t="s">
        <v>192</v>
      </c>
      <c r="M10" s="5" t="s">
        <v>193</v>
      </c>
      <c r="N10" s="5" t="s">
        <v>194</v>
      </c>
      <c r="O10" s="5" t="s">
        <v>195</v>
      </c>
      <c r="P10" s="31" t="s">
        <v>196</v>
      </c>
      <c r="Q10" s="31" t="s">
        <v>86</v>
      </c>
      <c r="R10" s="31" t="s">
        <v>107</v>
      </c>
      <c r="S10" s="31" t="s">
        <v>128</v>
      </c>
      <c r="T10" s="31" t="s">
        <v>197</v>
      </c>
      <c r="U10" s="31" t="s">
        <v>198</v>
      </c>
      <c r="W10" s="5" t="s">
        <v>15</v>
      </c>
      <c r="X10" s="5" t="s">
        <v>199</v>
      </c>
      <c r="Z10" s="32" t="s">
        <v>99</v>
      </c>
      <c r="AA10" s="32" t="s">
        <v>83</v>
      </c>
      <c r="AB10" s="32" t="s">
        <v>105</v>
      </c>
      <c r="AC10" s="32" t="s">
        <v>200</v>
      </c>
      <c r="AD10" s="32" t="s">
        <v>118</v>
      </c>
      <c r="AE10" s="32" t="s">
        <v>127</v>
      </c>
      <c r="AG10" s="5" t="s">
        <v>12</v>
      </c>
      <c r="AH10" s="5" t="s">
        <v>199</v>
      </c>
    </row>
    <row r="11" spans="1:34" x14ac:dyDescent="0.25">
      <c r="A11" s="14" t="s">
        <v>99</v>
      </c>
      <c r="B11" s="33">
        <v>6.6666699999999999</v>
      </c>
      <c r="F11" s="34" t="s">
        <v>90</v>
      </c>
      <c r="G11" s="34" t="s">
        <v>201</v>
      </c>
      <c r="H11" s="34" t="s">
        <v>149</v>
      </c>
      <c r="I11" s="34" t="s">
        <v>85</v>
      </c>
      <c r="J11" s="34" t="s">
        <v>196</v>
      </c>
      <c r="K11" s="34" t="s">
        <v>165</v>
      </c>
      <c r="L11" s="34" t="s">
        <v>162</v>
      </c>
      <c r="M11" s="34" t="s">
        <v>171</v>
      </c>
      <c r="N11" s="34" t="s">
        <v>150</v>
      </c>
      <c r="O11" s="34" t="s">
        <v>113</v>
      </c>
      <c r="P11" s="34" t="s">
        <v>202</v>
      </c>
      <c r="Q11" s="34" t="s">
        <v>86</v>
      </c>
      <c r="R11" s="34" t="s">
        <v>107</v>
      </c>
      <c r="S11" s="34" t="s">
        <v>128</v>
      </c>
      <c r="T11" s="34" t="s">
        <v>197</v>
      </c>
      <c r="U11" s="34" t="s">
        <v>198</v>
      </c>
      <c r="W11" s="34" t="s">
        <v>196</v>
      </c>
      <c r="X11" s="34" t="s">
        <v>203</v>
      </c>
      <c r="Z11" s="26" t="s">
        <v>90</v>
      </c>
      <c r="AA11" s="26" t="s">
        <v>90</v>
      </c>
      <c r="AB11" s="26" t="s">
        <v>90</v>
      </c>
      <c r="AC11" s="26" t="s">
        <v>90</v>
      </c>
      <c r="AD11" s="26" t="s">
        <v>90</v>
      </c>
      <c r="AE11" s="26" t="s">
        <v>132</v>
      </c>
      <c r="AG11" s="34" t="s">
        <v>99</v>
      </c>
      <c r="AH11" s="34" t="s">
        <v>204</v>
      </c>
    </row>
    <row r="12" spans="1:34" x14ac:dyDescent="0.25">
      <c r="A12" s="14" t="s">
        <v>83</v>
      </c>
      <c r="B12" s="33">
        <v>8</v>
      </c>
      <c r="F12" s="34" t="s">
        <v>205</v>
      </c>
      <c r="G12" s="34" t="s">
        <v>206</v>
      </c>
      <c r="H12" s="34" t="s">
        <v>207</v>
      </c>
      <c r="I12" s="34" t="s">
        <v>208</v>
      </c>
      <c r="J12" s="34" t="s">
        <v>86</v>
      </c>
      <c r="K12" s="34" t="s">
        <v>163</v>
      </c>
      <c r="L12" s="34" t="s">
        <v>168</v>
      </c>
      <c r="M12" s="34" t="s">
        <v>209</v>
      </c>
      <c r="N12" s="34" t="s">
        <v>148</v>
      </c>
      <c r="O12" s="34" t="s">
        <v>101</v>
      </c>
      <c r="P12" s="34" t="s">
        <v>210</v>
      </c>
      <c r="Q12" s="34" t="s">
        <v>121</v>
      </c>
      <c r="R12" s="34" t="s">
        <v>211</v>
      </c>
      <c r="S12" s="34" t="s">
        <v>129</v>
      </c>
      <c r="T12" s="34" t="s">
        <v>212</v>
      </c>
      <c r="U12" s="34" t="s">
        <v>213</v>
      </c>
      <c r="W12" s="34" t="s">
        <v>86</v>
      </c>
      <c r="X12" s="34" t="s">
        <v>214</v>
      </c>
      <c r="Z12" s="26" t="s">
        <v>205</v>
      </c>
      <c r="AA12" s="26" t="s">
        <v>205</v>
      </c>
      <c r="AB12" s="26" t="s">
        <v>205</v>
      </c>
      <c r="AC12" s="26" t="s">
        <v>215</v>
      </c>
      <c r="AD12" s="26" t="s">
        <v>94</v>
      </c>
      <c r="AE12" s="26" t="s">
        <v>216</v>
      </c>
      <c r="AG12" s="34" t="s">
        <v>83</v>
      </c>
      <c r="AH12" s="34" t="s">
        <v>217</v>
      </c>
    </row>
    <row r="13" spans="1:34" x14ac:dyDescent="0.25">
      <c r="A13" s="14" t="s">
        <v>105</v>
      </c>
      <c r="B13" s="33">
        <v>10</v>
      </c>
      <c r="F13" s="34" t="s">
        <v>94</v>
      </c>
      <c r="G13" s="34" t="s">
        <v>218</v>
      </c>
      <c r="I13" s="34" t="s">
        <v>219</v>
      </c>
      <c r="J13" s="34" t="s">
        <v>107</v>
      </c>
      <c r="K13" s="34" t="s">
        <v>166</v>
      </c>
      <c r="L13" s="34" t="s">
        <v>170</v>
      </c>
      <c r="M13" s="34" t="s">
        <v>220</v>
      </c>
      <c r="O13" s="34" t="s">
        <v>114</v>
      </c>
      <c r="P13" s="34" t="s">
        <v>221</v>
      </c>
      <c r="Q13" s="34" t="s">
        <v>87</v>
      </c>
      <c r="R13" s="34" t="s">
        <v>222</v>
      </c>
      <c r="S13" s="34" t="s">
        <v>223</v>
      </c>
      <c r="T13" s="34" t="s">
        <v>224</v>
      </c>
      <c r="U13" s="34" t="s">
        <v>225</v>
      </c>
      <c r="W13" s="34" t="s">
        <v>107</v>
      </c>
      <c r="X13" s="34" t="s">
        <v>226</v>
      </c>
      <c r="Z13" s="26" t="s">
        <v>94</v>
      </c>
      <c r="AA13" s="26" t="s">
        <v>94</v>
      </c>
      <c r="AB13" s="26" t="s">
        <v>94</v>
      </c>
      <c r="AC13" s="26" t="s">
        <v>111</v>
      </c>
      <c r="AD13" s="26" t="s">
        <v>227</v>
      </c>
      <c r="AE13" s="26" t="s">
        <v>228</v>
      </c>
      <c r="AG13" s="34" t="s">
        <v>105</v>
      </c>
      <c r="AH13" s="34" t="s">
        <v>229</v>
      </c>
    </row>
    <row r="14" spans="1:34" x14ac:dyDescent="0.25">
      <c r="A14" s="14" t="s">
        <v>200</v>
      </c>
      <c r="B14" s="33">
        <v>10</v>
      </c>
      <c r="F14" s="34" t="s">
        <v>227</v>
      </c>
      <c r="G14" s="34" t="s">
        <v>230</v>
      </c>
      <c r="I14" s="34" t="s">
        <v>120</v>
      </c>
      <c r="J14" s="34" t="s">
        <v>128</v>
      </c>
      <c r="K14" s="34" t="s">
        <v>231</v>
      </c>
      <c r="M14" s="34" t="s">
        <v>173</v>
      </c>
      <c r="O14" s="34" t="s">
        <v>92</v>
      </c>
      <c r="P14" s="34" t="s">
        <v>232</v>
      </c>
      <c r="Q14" s="34" t="s">
        <v>233</v>
      </c>
      <c r="R14" s="34" t="s">
        <v>234</v>
      </c>
      <c r="S14" s="34" t="s">
        <v>235</v>
      </c>
      <c r="T14" s="34" t="s">
        <v>236</v>
      </c>
      <c r="U14" s="34" t="s">
        <v>237</v>
      </c>
      <c r="W14" s="34" t="s">
        <v>128</v>
      </c>
      <c r="X14" s="34" t="s">
        <v>238</v>
      </c>
      <c r="Z14" s="26" t="s">
        <v>227</v>
      </c>
      <c r="AA14" s="26" t="s">
        <v>227</v>
      </c>
      <c r="AB14" s="26" t="s">
        <v>111</v>
      </c>
      <c r="AC14" s="26" t="s">
        <v>239</v>
      </c>
      <c r="AD14" s="26" t="s">
        <v>111</v>
      </c>
      <c r="AE14" s="26" t="s">
        <v>240</v>
      </c>
      <c r="AG14" s="34" t="s">
        <v>200</v>
      </c>
      <c r="AH14" s="34" t="s">
        <v>241</v>
      </c>
    </row>
    <row r="15" spans="1:34" x14ac:dyDescent="0.25">
      <c r="A15" s="14" t="s">
        <v>118</v>
      </c>
      <c r="B15" s="33">
        <v>15</v>
      </c>
      <c r="F15" s="34" t="s">
        <v>242</v>
      </c>
      <c r="G15" s="34" t="s">
        <v>243</v>
      </c>
      <c r="I15" s="34" t="s">
        <v>244</v>
      </c>
      <c r="J15" s="34" t="s">
        <v>197</v>
      </c>
      <c r="M15" s="34" t="s">
        <v>245</v>
      </c>
      <c r="O15" s="34" t="s">
        <v>96</v>
      </c>
      <c r="P15" s="34" t="s">
        <v>246</v>
      </c>
      <c r="Q15" s="34" t="s">
        <v>247</v>
      </c>
      <c r="R15" s="34" t="s">
        <v>248</v>
      </c>
      <c r="S15" s="34" t="s">
        <v>249</v>
      </c>
      <c r="T15" s="34" t="s">
        <v>250</v>
      </c>
      <c r="U15" s="34" t="s">
        <v>251</v>
      </c>
      <c r="W15" s="34" t="s">
        <v>197</v>
      </c>
      <c r="X15" s="34" t="s">
        <v>252</v>
      </c>
      <c r="Z15" s="26" t="s">
        <v>242</v>
      </c>
      <c r="AA15" s="26" t="s">
        <v>242</v>
      </c>
      <c r="AB15" s="26" t="s">
        <v>239</v>
      </c>
      <c r="AC15" s="26" t="s">
        <v>94</v>
      </c>
      <c r="AD15" s="26" t="s">
        <v>239</v>
      </c>
      <c r="AE15" s="26" t="s">
        <v>253</v>
      </c>
      <c r="AG15" s="34" t="s">
        <v>118</v>
      </c>
      <c r="AH15" s="34" t="s">
        <v>254</v>
      </c>
    </row>
    <row r="16" spans="1:34" x14ac:dyDescent="0.25">
      <c r="A16" s="14" t="s">
        <v>127</v>
      </c>
      <c r="B16" s="33">
        <v>10</v>
      </c>
      <c r="F16" s="34" t="s">
        <v>255</v>
      </c>
      <c r="G16" s="34" t="s">
        <v>100</v>
      </c>
      <c r="I16" s="34" t="s">
        <v>256</v>
      </c>
      <c r="J16" s="34" t="s">
        <v>198</v>
      </c>
      <c r="O16" s="34" t="s">
        <v>93</v>
      </c>
      <c r="P16" s="34" t="s">
        <v>257</v>
      </c>
      <c r="Q16" s="34" t="s">
        <v>258</v>
      </c>
      <c r="R16" s="34" t="s">
        <v>259</v>
      </c>
      <c r="S16" s="34" t="s">
        <v>260</v>
      </c>
      <c r="T16" s="34" t="s">
        <v>261</v>
      </c>
      <c r="U16" s="34" t="s">
        <v>262</v>
      </c>
      <c r="W16" s="34" t="s">
        <v>198</v>
      </c>
      <c r="X16" s="34" t="s">
        <v>263</v>
      </c>
      <c r="Z16" s="26" t="s">
        <v>255</v>
      </c>
      <c r="AA16" s="26" t="s">
        <v>255</v>
      </c>
      <c r="AB16" s="26" t="s">
        <v>264</v>
      </c>
      <c r="AC16" s="26" t="s">
        <v>265</v>
      </c>
      <c r="AD16" s="26" t="s">
        <v>264</v>
      </c>
      <c r="AG16" s="34" t="s">
        <v>127</v>
      </c>
      <c r="AH16" s="34" t="s">
        <v>266</v>
      </c>
    </row>
    <row r="17" spans="1:30" x14ac:dyDescent="0.25">
      <c r="F17" s="34" t="s">
        <v>267</v>
      </c>
      <c r="G17" s="34" t="s">
        <v>268</v>
      </c>
      <c r="O17" s="34" t="s">
        <v>134</v>
      </c>
      <c r="P17" s="34" t="s">
        <v>269</v>
      </c>
      <c r="Q17" s="34" t="s">
        <v>270</v>
      </c>
      <c r="R17" s="34" t="s">
        <v>108</v>
      </c>
      <c r="S17" s="34" t="s">
        <v>271</v>
      </c>
      <c r="T17" s="34" t="s">
        <v>272</v>
      </c>
      <c r="U17" s="34" t="s">
        <v>273</v>
      </c>
      <c r="Z17" s="179" t="s">
        <v>528</v>
      </c>
      <c r="AA17" s="26" t="s">
        <v>267</v>
      </c>
      <c r="AB17" s="26" t="s">
        <v>274</v>
      </c>
      <c r="AC17" s="26" t="s">
        <v>275</v>
      </c>
      <c r="AD17" s="26" t="s">
        <v>276</v>
      </c>
    </row>
    <row r="18" spans="1:30" x14ac:dyDescent="0.25">
      <c r="A18" s="180" t="s">
        <v>529</v>
      </c>
      <c r="F18" s="34" t="s">
        <v>111</v>
      </c>
      <c r="G18" s="34" t="s">
        <v>84</v>
      </c>
      <c r="P18" s="34" t="s">
        <v>277</v>
      </c>
      <c r="Q18" s="34" t="s">
        <v>278</v>
      </c>
      <c r="R18" s="34" t="s">
        <v>279</v>
      </c>
      <c r="S18" s="34" t="s">
        <v>280</v>
      </c>
      <c r="T18" s="34" t="s">
        <v>281</v>
      </c>
      <c r="U18" s="34" t="s">
        <v>282</v>
      </c>
      <c r="AB18" s="26" t="s">
        <v>215</v>
      </c>
      <c r="AC18" s="26" t="s">
        <v>283</v>
      </c>
      <c r="AD18" s="26" t="s">
        <v>205</v>
      </c>
    </row>
    <row r="19" spans="1:30" x14ac:dyDescent="0.25">
      <c r="A19" s="183" t="s">
        <v>530</v>
      </c>
      <c r="B19" s="184" t="s">
        <v>531</v>
      </c>
      <c r="D19" s="181" t="s">
        <v>532</v>
      </c>
      <c r="F19" s="34" t="s">
        <v>239</v>
      </c>
      <c r="G19" s="34" t="s">
        <v>284</v>
      </c>
      <c r="P19" s="34" t="s">
        <v>285</v>
      </c>
      <c r="Q19" s="34" t="s">
        <v>286</v>
      </c>
      <c r="R19" s="34" t="s">
        <v>287</v>
      </c>
      <c r="S19" s="34" t="s">
        <v>288</v>
      </c>
      <c r="T19" s="34" t="s">
        <v>289</v>
      </c>
      <c r="U19" s="34" t="s">
        <v>290</v>
      </c>
      <c r="AB19" s="26" t="s">
        <v>276</v>
      </c>
    </row>
    <row r="20" spans="1:30" x14ac:dyDescent="0.25">
      <c r="A20" s="185"/>
      <c r="B20" s="186"/>
      <c r="D20" s="182">
        <v>0.05</v>
      </c>
      <c r="F20" s="34" t="s">
        <v>264</v>
      </c>
      <c r="G20" s="34" t="s">
        <v>119</v>
      </c>
      <c r="P20" s="34" t="s">
        <v>291</v>
      </c>
      <c r="Q20" s="34" t="s">
        <v>292</v>
      </c>
      <c r="R20" s="34" t="s">
        <v>293</v>
      </c>
      <c r="S20" s="34" t="s">
        <v>294</v>
      </c>
      <c r="T20" s="34" t="s">
        <v>295</v>
      </c>
      <c r="U20" s="34" t="s">
        <v>296</v>
      </c>
    </row>
    <row r="21" spans="1:30" x14ac:dyDescent="0.25">
      <c r="A21" s="185"/>
      <c r="B21" s="186"/>
      <c r="D21" s="182">
        <v>0.1</v>
      </c>
      <c r="F21" s="34" t="s">
        <v>274</v>
      </c>
      <c r="G21" s="34" t="s">
        <v>297</v>
      </c>
      <c r="P21" s="34" t="s">
        <v>298</v>
      </c>
      <c r="Q21" s="34" t="s">
        <v>299</v>
      </c>
      <c r="R21" s="34" t="s">
        <v>300</v>
      </c>
      <c r="S21" s="34" t="s">
        <v>301</v>
      </c>
      <c r="T21" s="34" t="s">
        <v>302</v>
      </c>
      <c r="U21" s="34" t="s">
        <v>303</v>
      </c>
    </row>
    <row r="22" spans="1:30" x14ac:dyDescent="0.25">
      <c r="A22" s="185"/>
      <c r="B22" s="186"/>
      <c r="D22" s="182">
        <v>0.15</v>
      </c>
      <c r="F22" s="34" t="s">
        <v>215</v>
      </c>
      <c r="G22" s="34" t="s">
        <v>106</v>
      </c>
      <c r="P22" s="34" t="s">
        <v>304</v>
      </c>
      <c r="Q22" s="34" t="s">
        <v>305</v>
      </c>
      <c r="R22" s="34" t="s">
        <v>306</v>
      </c>
      <c r="S22" s="34" t="s">
        <v>307</v>
      </c>
      <c r="T22" s="34" t="s">
        <v>308</v>
      </c>
      <c r="U22" s="34" t="s">
        <v>309</v>
      </c>
    </row>
    <row r="23" spans="1:30" x14ac:dyDescent="0.25">
      <c r="A23" s="185"/>
      <c r="B23" s="186"/>
      <c r="F23" s="34" t="s">
        <v>276</v>
      </c>
      <c r="G23" s="34" t="s">
        <v>310</v>
      </c>
      <c r="P23" s="34" t="s">
        <v>311</v>
      </c>
      <c r="Q23" s="34" t="s">
        <v>312</v>
      </c>
      <c r="R23" s="34" t="s">
        <v>313</v>
      </c>
      <c r="S23" s="34" t="s">
        <v>314</v>
      </c>
      <c r="T23" s="34" t="s">
        <v>315</v>
      </c>
      <c r="U23" s="34" t="s">
        <v>316</v>
      </c>
    </row>
    <row r="24" spans="1:30" x14ac:dyDescent="0.25">
      <c r="A24" s="185"/>
      <c r="B24" s="186"/>
      <c r="F24" s="34" t="s">
        <v>265</v>
      </c>
      <c r="G24" s="34" t="s">
        <v>317</v>
      </c>
      <c r="P24" s="34" t="s">
        <v>318</v>
      </c>
      <c r="Q24" s="34" t="s">
        <v>319</v>
      </c>
      <c r="R24" s="34" t="s">
        <v>320</v>
      </c>
      <c r="S24" s="34" t="s">
        <v>321</v>
      </c>
      <c r="T24" s="34" t="s">
        <v>322</v>
      </c>
      <c r="U24" s="34" t="s">
        <v>323</v>
      </c>
    </row>
    <row r="25" spans="1:30" x14ac:dyDescent="0.25">
      <c r="A25" s="185"/>
      <c r="B25" s="186"/>
      <c r="F25" s="34" t="s">
        <v>275</v>
      </c>
      <c r="P25" s="34" t="s">
        <v>324</v>
      </c>
      <c r="Q25" s="34" t="s">
        <v>325</v>
      </c>
      <c r="R25" s="34" t="s">
        <v>326</v>
      </c>
      <c r="S25" s="34" t="s">
        <v>327</v>
      </c>
      <c r="T25" s="34" t="s">
        <v>328</v>
      </c>
      <c r="U25" s="34" t="s">
        <v>329</v>
      </c>
    </row>
    <row r="26" spans="1:30" x14ac:dyDescent="0.25">
      <c r="A26" s="187" t="s">
        <v>533</v>
      </c>
      <c r="B26" s="186"/>
      <c r="F26" s="34" t="s">
        <v>283</v>
      </c>
      <c r="P26" s="34" t="s">
        <v>330</v>
      </c>
      <c r="Q26" s="34" t="s">
        <v>331</v>
      </c>
      <c r="R26" s="34" t="s">
        <v>332</v>
      </c>
      <c r="S26" s="34" t="s">
        <v>333</v>
      </c>
      <c r="T26" s="34" t="s">
        <v>334</v>
      </c>
      <c r="U26" s="34" t="s">
        <v>335</v>
      </c>
    </row>
    <row r="27" spans="1:30" x14ac:dyDescent="0.25">
      <c r="A27" s="185"/>
      <c r="B27" s="186"/>
      <c r="F27" s="34" t="s">
        <v>132</v>
      </c>
      <c r="P27" s="34" t="s">
        <v>336</v>
      </c>
      <c r="Q27" s="34" t="s">
        <v>337</v>
      </c>
      <c r="R27" s="34" t="s">
        <v>338</v>
      </c>
      <c r="S27" s="34" t="s">
        <v>339</v>
      </c>
      <c r="T27" s="34" t="s">
        <v>340</v>
      </c>
      <c r="U27" s="34" t="s">
        <v>341</v>
      </c>
    </row>
    <row r="28" spans="1:30" x14ac:dyDescent="0.25">
      <c r="A28" s="185"/>
      <c r="B28" s="186"/>
      <c r="F28" s="34" t="s">
        <v>216</v>
      </c>
      <c r="P28" s="34" t="s">
        <v>342</v>
      </c>
      <c r="Q28" s="34" t="s">
        <v>343</v>
      </c>
      <c r="R28" s="34" t="s">
        <v>344</v>
      </c>
      <c r="S28" s="34" t="s">
        <v>345</v>
      </c>
      <c r="T28" s="34" t="s">
        <v>344</v>
      </c>
      <c r="U28" s="34" t="s">
        <v>346</v>
      </c>
    </row>
    <row r="29" spans="1:30" x14ac:dyDescent="0.25">
      <c r="A29" s="185"/>
      <c r="B29" s="186"/>
      <c r="F29" s="34" t="s">
        <v>228</v>
      </c>
      <c r="P29" s="34" t="s">
        <v>347</v>
      </c>
      <c r="Q29" s="34" t="s">
        <v>348</v>
      </c>
      <c r="R29" s="34" t="s">
        <v>349</v>
      </c>
      <c r="S29" s="34" t="s">
        <v>350</v>
      </c>
      <c r="T29" s="34" t="s">
        <v>342</v>
      </c>
      <c r="U29" s="34" t="s">
        <v>351</v>
      </c>
    </row>
    <row r="30" spans="1:30" x14ac:dyDescent="0.25">
      <c r="A30" s="185"/>
      <c r="B30" s="186"/>
      <c r="F30" s="34" t="s">
        <v>240</v>
      </c>
      <c r="P30" s="34" t="s">
        <v>352</v>
      </c>
      <c r="Q30" s="34" t="s">
        <v>353</v>
      </c>
      <c r="R30" s="34" t="s">
        <v>354</v>
      </c>
      <c r="S30" s="34" t="s">
        <v>355</v>
      </c>
      <c r="T30" s="34" t="s">
        <v>356</v>
      </c>
      <c r="U30" s="34" t="s">
        <v>357</v>
      </c>
    </row>
    <row r="31" spans="1:30" x14ac:dyDescent="0.25">
      <c r="A31" s="185"/>
      <c r="B31" s="186"/>
      <c r="F31" s="34" t="s">
        <v>253</v>
      </c>
    </row>
    <row r="32" spans="1:30" x14ac:dyDescent="0.25">
      <c r="A32" s="185"/>
      <c r="B32" s="186"/>
    </row>
    <row r="33" spans="1:2" x14ac:dyDescent="0.25">
      <c r="A33" s="185"/>
      <c r="B33" s="186"/>
    </row>
    <row r="34" spans="1:2" x14ac:dyDescent="0.25">
      <c r="A34" s="185"/>
      <c r="B34" s="186"/>
    </row>
    <row r="35" spans="1:2" x14ac:dyDescent="0.25">
      <c r="A35" s="185"/>
      <c r="B35" s="186"/>
    </row>
    <row r="36" spans="1:2" x14ac:dyDescent="0.25">
      <c r="A36" s="185"/>
      <c r="B36" s="186"/>
    </row>
    <row r="37" spans="1:2" x14ac:dyDescent="0.25">
      <c r="A37" s="185"/>
      <c r="B37" s="186"/>
    </row>
    <row r="38" spans="1:2" x14ac:dyDescent="0.25">
      <c r="A38" s="185"/>
      <c r="B38" s="186"/>
    </row>
    <row r="39" spans="1:2" x14ac:dyDescent="0.25">
      <c r="A39" s="185"/>
      <c r="B39" s="186"/>
    </row>
    <row r="40" spans="1:2" x14ac:dyDescent="0.25">
      <c r="A40" s="185"/>
      <c r="B40" s="186"/>
    </row>
  </sheetData>
  <mergeCells count="3">
    <mergeCell ref="A1:D1"/>
    <mergeCell ref="A4:D4"/>
    <mergeCell ref="A9:D9"/>
  </mergeCells>
  <dataValidations count="1">
    <dataValidation type="list" allowBlank="1" showInputMessage="1" showErrorMessage="1" sqref="B20:B40" xr:uid="{9272B057-9B50-4623-99C3-D8DA8C7D4FB8}">
      <formula1>$D$20:$D$22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D5EE9-E2F2-489E-BF7E-4FE1C64AB1B5}">
  <sheetPr>
    <tabColor rgb="FF9DC3E6"/>
  </sheetPr>
  <dimension ref="B1:O39"/>
  <sheetViews>
    <sheetView showGridLines="0" rightToLeft="1" topLeftCell="A116" workbookViewId="0"/>
  </sheetViews>
  <sheetFormatPr defaultRowHeight="13.8" outlineLevelCol="1" x14ac:dyDescent="0.25"/>
  <cols>
    <col min="1" max="1" width="2" customWidth="1"/>
    <col min="2" max="2" width="21.69921875" customWidth="1"/>
    <col min="3" max="3" width="15.796875" customWidth="1"/>
    <col min="4" max="4" width="13.296875" customWidth="1"/>
    <col min="5" max="5" width="11.296875" customWidth="1"/>
    <col min="6" max="7" width="10.296875" customWidth="1"/>
    <col min="8" max="8" width="11.296875" customWidth="1"/>
    <col min="9" max="10" width="10.296875" customWidth="1"/>
    <col min="11" max="11" width="13" customWidth="1"/>
    <col min="14" max="15" width="8.796875" outlineLevel="1"/>
  </cols>
  <sheetData>
    <row r="1" spans="2:14" ht="30" customHeight="1" x14ac:dyDescent="0.4">
      <c r="B1" s="164" t="str">
        <f>الإعدادات!$B$5</f>
        <v>معهد ألفا</v>
      </c>
      <c r="C1" s="164"/>
      <c r="D1" s="164"/>
      <c r="E1" s="164"/>
      <c r="F1" s="164"/>
      <c r="G1" s="164"/>
      <c r="H1" s="164"/>
      <c r="I1" s="164"/>
      <c r="J1" s="164"/>
      <c r="K1" s="164"/>
    </row>
    <row r="2" spans="2:14" ht="24" customHeight="1" x14ac:dyDescent="0.3">
      <c r="B2" s="165" t="s">
        <v>359</v>
      </c>
      <c r="C2" s="165"/>
      <c r="D2" s="165"/>
      <c r="E2" s="165"/>
      <c r="F2" s="165"/>
      <c r="G2" s="165"/>
      <c r="H2" s="165"/>
      <c r="I2" s="165"/>
      <c r="J2" s="165"/>
      <c r="K2" s="165"/>
    </row>
    <row r="3" spans="2:14" x14ac:dyDescent="0.25">
      <c r="B3" s="102" t="s">
        <v>360</v>
      </c>
      <c r="C3" s="103">
        <f ca="1">TODAY()</f>
        <v>46220</v>
      </c>
    </row>
    <row r="4" spans="2:14" x14ac:dyDescent="0.25">
      <c r="B4" s="104" t="s">
        <v>361</v>
      </c>
      <c r="C4" s="159" t="s">
        <v>91</v>
      </c>
      <c r="D4" s="159"/>
      <c r="E4" s="159"/>
    </row>
    <row r="6" spans="2:14" x14ac:dyDescent="0.25">
      <c r="B6" s="158" t="s">
        <v>362</v>
      </c>
      <c r="C6" s="158"/>
      <c r="D6" s="158"/>
      <c r="E6" s="158"/>
      <c r="F6" s="158"/>
      <c r="G6" s="158"/>
      <c r="H6" s="158"/>
      <c r="I6" s="158"/>
      <c r="J6" s="158"/>
      <c r="K6" s="158"/>
    </row>
    <row r="7" spans="2:14" x14ac:dyDescent="0.25">
      <c r="B7" s="105" t="s">
        <v>136</v>
      </c>
      <c r="C7" s="140" t="str">
        <f>IFERROR(INDEX(المعلمون!$A$4:$A$56,MATCH($C$4,المعلمون!$B$4:$B$56,0)),"")</f>
        <v/>
      </c>
      <c r="D7" s="105" t="s">
        <v>137</v>
      </c>
      <c r="E7" s="140" t="str">
        <f>IFERROR(INDEX(المعلمون!$C$4:$C$56,MATCH($C$4,المعلمون!$B$4:$B$56,0)),"")</f>
        <v/>
      </c>
      <c r="F7" s="105" t="s">
        <v>56</v>
      </c>
      <c r="G7" s="140" t="str">
        <f>IFERROR(INDEX(المعلمون!$D$4:$D$56,MATCH($C$4,المعلمون!$B$4:$B$56,0)),"")</f>
        <v/>
      </c>
      <c r="H7" s="105" t="s">
        <v>15</v>
      </c>
      <c r="I7" s="139" t="str">
        <f>IFERROR(INDEX(المعلمون!$E$4:$E$56,MATCH($C$4,المعلمون!$B$4:$B$56,0)),"")</f>
        <v/>
      </c>
    </row>
    <row r="8" spans="2:14" x14ac:dyDescent="0.25">
      <c r="B8" s="105" t="s">
        <v>140</v>
      </c>
      <c r="C8" s="160" t="str">
        <f>IFERROR(INDEX(المعلمون!$H$4:$H$56,MATCH($C$4,المعلمون!$B$4:$B$56,0)),"")</f>
        <v/>
      </c>
      <c r="D8" s="161"/>
      <c r="E8" s="161"/>
      <c r="F8" s="161"/>
      <c r="G8" s="161"/>
      <c r="H8" s="161"/>
      <c r="I8" s="162"/>
      <c r="J8" s="163"/>
      <c r="K8" s="163"/>
    </row>
    <row r="10" spans="2:14" x14ac:dyDescent="0.25">
      <c r="B10" s="158" t="s">
        <v>363</v>
      </c>
      <c r="C10" s="158"/>
      <c r="D10" s="158"/>
      <c r="E10" s="158"/>
      <c r="F10" s="158"/>
      <c r="G10" s="158"/>
      <c r="H10" s="158"/>
      <c r="I10" s="158"/>
      <c r="J10" s="158"/>
      <c r="K10" s="158"/>
    </row>
    <row r="11" spans="2:14" x14ac:dyDescent="0.25">
      <c r="B11" s="106" t="s">
        <v>364</v>
      </c>
      <c r="C11" s="138" t="str">
        <f>IFERROR(INDEX(المعلمون!$K$4:$K$56,MATCH($C$4,المعلمون!$B$4:$B$56,0)),"")</f>
        <v/>
      </c>
      <c r="D11" s="106" t="s">
        <v>143</v>
      </c>
      <c r="E11" s="136" t="str">
        <f>IFERROR(INDEX(المعلمون!$L$4:$L$56,MATCH($C$4,المعلمون!$B$4:$B$56,0)),"")</f>
        <v/>
      </c>
      <c r="F11" s="106" t="s">
        <v>144</v>
      </c>
      <c r="G11" s="137" t="str">
        <f>IFERROR(INDEX(المعلمون!$M$4:$M$56,MATCH($C$4,المعلمون!$B$4:$B$56,0)),"")</f>
        <v/>
      </c>
    </row>
    <row r="12" spans="2:14" x14ac:dyDescent="0.25">
      <c r="B12" s="106" t="s">
        <v>145</v>
      </c>
      <c r="C12" s="136" t="str">
        <f>IFERROR(INDEX(المعلمون!$N$4:$N$56,MATCH($C$4,المعلمون!$B$4:$B$56,0)),"")</f>
        <v/>
      </c>
      <c r="D12" s="106" t="s">
        <v>146</v>
      </c>
      <c r="E12" s="136" t="str">
        <f>IFERROR(INDEX(المعلمون!$O$4:$O$56,MATCH($C$4,المعلمون!$B$4:$B$56,0)),"")</f>
        <v/>
      </c>
      <c r="F12" s="107" t="s">
        <v>147</v>
      </c>
      <c r="G12" s="135" t="str">
        <f>IFERROR(INDEX(المعلمون!$P$4:$P$56,MATCH($C$4,المعلمون!$B$4:$B$56,0)),"")</f>
        <v/>
      </c>
    </row>
    <row r="14" spans="2:14" x14ac:dyDescent="0.25">
      <c r="B14" s="158" t="s">
        <v>365</v>
      </c>
      <c r="C14" s="158"/>
      <c r="D14" s="158"/>
      <c r="E14" s="158"/>
      <c r="F14" s="158"/>
      <c r="G14" s="158"/>
      <c r="H14" s="158"/>
      <c r="I14" s="158"/>
      <c r="J14" s="158"/>
      <c r="K14" s="158"/>
    </row>
    <row r="15" spans="2:14" x14ac:dyDescent="0.25">
      <c r="B15" s="110" t="s">
        <v>366</v>
      </c>
      <c r="C15" s="110" t="s">
        <v>24</v>
      </c>
      <c r="D15" s="110" t="s">
        <v>12</v>
      </c>
      <c r="E15" s="110" t="s">
        <v>65</v>
      </c>
      <c r="F15" s="110" t="s">
        <v>367</v>
      </c>
      <c r="G15" s="110" t="s">
        <v>368</v>
      </c>
      <c r="H15" s="110" t="s">
        <v>68</v>
      </c>
      <c r="I15" s="110" t="s">
        <v>367</v>
      </c>
      <c r="J15" s="110" t="s">
        <v>368</v>
      </c>
      <c r="K15" s="108" t="s">
        <v>17</v>
      </c>
    </row>
    <row r="16" spans="2:14" x14ac:dyDescent="0.25">
      <c r="B16" s="111" t="str" cm="1">
        <f t="array" ref="B16">IF($N16="","",INDEX(الطلاب!$B$4:$B$100,$N16))</f>
        <v>عبدالله ناصر المطيري</v>
      </c>
      <c r="C16" s="112" t="str" cm="1">
        <f t="array" ref="C16">IF($N16="","",INDEX(الطلاب!$P$4:$P$100,$N16))</f>
        <v>رياضيات</v>
      </c>
      <c r="D16" s="112" t="str" cm="1">
        <f t="array" ref="D16">IF($N16="","",INDEX(الطلاب!$E$4:$E$100,$N16))</f>
        <v>المتوسطة</v>
      </c>
      <c r="E16" s="112" t="str" cm="1">
        <f t="array" ref="E16">IF($N16="","",INDEX(الطلاب!$R$4:$R$100,$N16))</f>
        <v/>
      </c>
      <c r="F16" s="113" t="str" cm="1">
        <f t="array" ref="F16">IF($N16="","",INDEX(الطلاب!$S$4:$S$100,$N16))</f>
        <v>الأربعاء</v>
      </c>
      <c r="G16" s="113" cm="1">
        <f t="array" ref="G16">IF($N16="","",INDEX(الطلاب!$T$4:$T$100,$N16))</f>
        <v>0.72916666666666663</v>
      </c>
      <c r="H16" s="112" cm="1">
        <f t="array" ref="H16">IF($N16="","",IF(INDEX(الطلاب!$U$4:$U$100,$N16)="","—",INDEX(الطلاب!$U$4:$U$100,$N16)))</f>
        <v>0.79166666666666663</v>
      </c>
      <c r="I16" s="113" t="str" cm="1">
        <f t="array" ref="I16">IF($N16="","",IF(INDEX(الطلاب!$V$4:$V$100,$N16)="","",INDEX(الطلاب!$V$4:$V$100,$N16)))</f>
        <v>الجمعة</v>
      </c>
      <c r="J16" s="113" cm="1">
        <f t="array" ref="J16">IF($N16="","",IF(INDEX(الطلاب!$W$4:$W$100,$N16)="","",INDEX(الطلاب!$W$4:$W$100,$N16)))</f>
        <v>0.54166666666666663</v>
      </c>
      <c r="K16" s="114" cm="1">
        <f t="array" ref="K16">IF($N16="","",INDEX(الطلاب!$Y$4:$Y$100,$N16))</f>
        <v>2.5</v>
      </c>
      <c r="N16" cm="1">
        <f t="array" ref="N16">IFERROR(_xlfn.AGGREGATE(15,6,(ROW(الطلاب!$Q$4:$Q$100)-ROW(الطلاب!$Q$4)+1)/(الطلاب!$Q$4:$Q$100=$C$4),ROWS($N$16:N16)),"")</f>
        <v>1</v>
      </c>
    </row>
    <row r="17" spans="2:15" x14ac:dyDescent="0.25">
      <c r="B17" s="111" t="str" cm="1">
        <f t="array" ref="B17">IF($N17="","",INDEX(الطلاب!$B$4:$B$100,$N17))</f>
        <v xml:space="preserve">محمد مصطفى </v>
      </c>
      <c r="C17" s="112" t="str" cm="1">
        <f t="array" ref="C17">IF($N17="","",INDEX(الطلاب!$P$4:$P$100,$N17))</f>
        <v>إحصاء</v>
      </c>
      <c r="D17" s="112" t="str" cm="1">
        <f t="array" ref="D17">IF($N17="","",INDEX(الطلاب!$E$4:$E$100,$N17))</f>
        <v>الجامعة</v>
      </c>
      <c r="E17" s="112" t="str" cm="1">
        <f t="array" ref="E17">IF($N17="","",INDEX(الطلاب!$R$4:$R$100,$N17))</f>
        <v/>
      </c>
      <c r="F17" s="113" t="str" cm="1">
        <f t="array" ref="F17">IF($N17="","",INDEX(الطلاب!$S$4:$S$100,$N17))</f>
        <v>الثلاثاء</v>
      </c>
      <c r="G17" s="113" cm="1">
        <f t="array" ref="G17">IF($N17="","",INDEX(الطلاب!$T$4:$T$100,$N17))</f>
        <v>0.375</v>
      </c>
      <c r="H17" s="112" cm="1">
        <f t="array" ref="H17">IF($N17="","",IF(INDEX(الطلاب!$U$4:$U$100,$N17)="","—",INDEX(الطلاب!$U$4:$U$100,$N17)))</f>
        <v>0.4375</v>
      </c>
      <c r="I17" s="113" t="str" cm="1">
        <f t="array" ref="I17">IF($N17="","",IF(INDEX(الطلاب!$V$4:$V$100,$N17)="","",INDEX(الطلاب!$V$4:$V$100,$N17)))</f>
        <v>الأحد</v>
      </c>
      <c r="J17" s="113" cm="1">
        <f t="array" ref="J17">IF($N17="","",IF(INDEX(الطلاب!$W$4:$W$100,$N17)="","",INDEX(الطلاب!$W$4:$W$100,$N17)))</f>
        <v>0.125</v>
      </c>
      <c r="K17" s="114" cm="1">
        <f t="array" ref="K17">IF($N17="","",INDEX(الطلاب!$Y$4:$Y$100,$N17))</f>
        <v>2.5</v>
      </c>
      <c r="N17" cm="1">
        <f t="array" ref="N17">IFERROR(_xlfn.AGGREGATE(15,6,(ROW(الطلاب!$Q$4:$Q$100)-ROW(الطلاب!$Q$4)+1)/(الطلاب!$Q$4:$Q$100=$C$4),ROWS($N$16:N17)),"")</f>
        <v>7</v>
      </c>
    </row>
    <row r="18" spans="2:15" x14ac:dyDescent="0.25">
      <c r="B18" s="111" t="str" cm="1">
        <f t="array" ref="B18">IF($N18="","",INDEX(الطلاب!$B$4:$B$100,$N18))</f>
        <v/>
      </c>
      <c r="C18" s="112" t="str" cm="1">
        <f t="array" ref="C18">IF($N18="","",INDEX(الطلاب!$P$4:$P$100,$N18))</f>
        <v/>
      </c>
      <c r="D18" s="112" t="str" cm="1">
        <f t="array" ref="D18">IF($N18="","",INDEX(الطلاب!$E$4:$E$100,$N18))</f>
        <v/>
      </c>
      <c r="E18" s="112" t="str" cm="1">
        <f t="array" ref="E18">IF($N18="","",INDEX(الطلاب!$R$4:$R$100,$N18))</f>
        <v/>
      </c>
      <c r="F18" s="113" t="str" cm="1">
        <f t="array" ref="F18">IF($N18="","",INDEX(الطلاب!$S$4:$S$100,$N18))</f>
        <v/>
      </c>
      <c r="G18" s="113" t="str" cm="1">
        <f t="array" ref="G18">IF($N18="","",INDEX(الطلاب!$T$4:$T$100,$N18))</f>
        <v/>
      </c>
      <c r="H18" s="112" t="str" cm="1">
        <f t="array" ref="H18">IF($N18="","",IF(INDEX(الطلاب!$U$4:$U$100,$N18)="","—",INDEX(الطلاب!$U$4:$U$100,$N18)))</f>
        <v/>
      </c>
      <c r="I18" s="113" t="str" cm="1">
        <f t="array" ref="I18">IF($N18="","",IF(INDEX(الطلاب!$V$4:$V$100,$N18)="","",INDEX(الطلاب!$V$4:$V$100,$N18)))</f>
        <v/>
      </c>
      <c r="J18" s="113" t="str" cm="1">
        <f t="array" ref="J18">IF($N18="","",IF(INDEX(الطلاب!$W$4:$W$100,$N18)="","",INDEX(الطلاب!$W$4:$W$100,$N18)))</f>
        <v/>
      </c>
      <c r="K18" s="114" t="str" cm="1">
        <f t="array" ref="K18">IF($N18="","",INDEX(الطلاب!$Y$4:$Y$100,$N18))</f>
        <v/>
      </c>
      <c r="N18" t="str" cm="1">
        <f t="array" ref="N18">IFERROR(_xlfn.AGGREGATE(15,6,(ROW(الطلاب!$Q$4:$Q$100)-ROW(الطلاب!$Q$4)+1)/(الطلاب!$Q$4:$Q$100=$C$4),ROWS($N$16:N18)),"")</f>
        <v/>
      </c>
    </row>
    <row r="19" spans="2:15" x14ac:dyDescent="0.25">
      <c r="B19" s="111" t="str" cm="1">
        <f t="array" ref="B19">IF($N19="","",INDEX(الطلاب!$B$4:$B$100,$N19))</f>
        <v/>
      </c>
      <c r="C19" s="112" t="str" cm="1">
        <f t="array" ref="C19">IF($N19="","",INDEX(الطلاب!$P$4:$P$100,$N19))</f>
        <v/>
      </c>
      <c r="D19" s="112" t="str" cm="1">
        <f t="array" ref="D19">IF($N19="","",INDEX(الطلاب!$E$4:$E$100,$N19))</f>
        <v/>
      </c>
      <c r="E19" s="112" t="str" cm="1">
        <f t="array" ref="E19">IF($N19="","",INDEX(الطلاب!$R$4:$R$100,$N19))</f>
        <v/>
      </c>
      <c r="F19" s="113" t="str" cm="1">
        <f t="array" ref="F19">IF($N19="","",INDEX(الطلاب!$S$4:$S$100,$N19))</f>
        <v/>
      </c>
      <c r="G19" s="113" t="str" cm="1">
        <f t="array" ref="G19">IF($N19="","",INDEX(الطلاب!$T$4:$T$100,$N19))</f>
        <v/>
      </c>
      <c r="H19" s="112" t="str" cm="1">
        <f t="array" ref="H19">IF($N19="","",IF(INDEX(الطلاب!$U$4:$U$100,$N19)="","—",INDEX(الطلاب!$U$4:$U$100,$N19)))</f>
        <v/>
      </c>
      <c r="I19" s="113" t="str" cm="1">
        <f t="array" ref="I19">IF($N19="","",IF(INDEX(الطلاب!$V$4:$V$100,$N19)="","",INDEX(الطلاب!$V$4:$V$100,$N19)))</f>
        <v/>
      </c>
      <c r="J19" s="113" t="str" cm="1">
        <f t="array" ref="J19">IF($N19="","",IF(INDEX(الطلاب!$W$4:$W$100,$N19)="","",INDEX(الطلاب!$W$4:$W$100,$N19)))</f>
        <v/>
      </c>
      <c r="K19" s="114" t="str" cm="1">
        <f t="array" ref="K19">IF($N19="","",INDEX(الطلاب!$Y$4:$Y$100,$N19))</f>
        <v/>
      </c>
      <c r="N19" t="str" cm="1">
        <f t="array" ref="N19">IFERROR(_xlfn.AGGREGATE(15,6,(ROW(الطلاب!$Q$4:$Q$100)-ROW(الطلاب!$Q$4)+1)/(الطلاب!$Q$4:$Q$100=$C$4),ROWS($N$16:N19)),"")</f>
        <v/>
      </c>
    </row>
    <row r="20" spans="2:15" x14ac:dyDescent="0.25">
      <c r="B20" s="111" t="str" cm="1">
        <f t="array" ref="B20">IF($N20="","",INDEX(الطلاب!$B$4:$B$100,$N20))</f>
        <v/>
      </c>
      <c r="C20" s="112" t="str" cm="1">
        <f t="array" ref="C20">IF($N20="","",INDEX(الطلاب!$P$4:$P$100,$N20))</f>
        <v/>
      </c>
      <c r="D20" s="112" t="str" cm="1">
        <f t="array" ref="D20">IF($N20="","",INDEX(الطلاب!$E$4:$E$100,$N20))</f>
        <v/>
      </c>
      <c r="E20" s="112" t="str" cm="1">
        <f t="array" ref="E20">IF($N20="","",INDEX(الطلاب!$R$4:$R$100,$N20))</f>
        <v/>
      </c>
      <c r="F20" s="113" t="str" cm="1">
        <f t="array" ref="F20">IF($N20="","",INDEX(الطلاب!$S$4:$S$100,$N20))</f>
        <v/>
      </c>
      <c r="G20" s="113" t="str" cm="1">
        <f t="array" ref="G20">IF($N20="","",INDEX(الطلاب!$T$4:$T$100,$N20))</f>
        <v/>
      </c>
      <c r="H20" s="112" t="str" cm="1">
        <f t="array" ref="H20">IF($N20="","",IF(INDEX(الطلاب!$U$4:$U$100,$N20)="","—",INDEX(الطلاب!$U$4:$U$100,$N20)))</f>
        <v/>
      </c>
      <c r="I20" s="113" t="str" cm="1">
        <f t="array" ref="I20">IF($N20="","",IF(INDEX(الطلاب!$V$4:$V$100,$N20)="","",INDEX(الطلاب!$V$4:$V$100,$N20)))</f>
        <v/>
      </c>
      <c r="J20" s="113" t="str" cm="1">
        <f t="array" ref="J20">IF($N20="","",IF(INDEX(الطلاب!$W$4:$W$100,$N20)="","",INDEX(الطلاب!$W$4:$W$100,$N20)))</f>
        <v/>
      </c>
      <c r="K20" s="114" t="str" cm="1">
        <f t="array" ref="K20">IF($N20="","",INDEX(الطلاب!$Y$4:$Y$100,$N20))</f>
        <v/>
      </c>
      <c r="N20" t="str" cm="1">
        <f t="array" ref="N20">IFERROR(_xlfn.AGGREGATE(15,6,(ROW(الطلاب!$Q$4:$Q$100)-ROW(الطلاب!$Q$4)+1)/(الطلاب!$Q$4:$Q$100=$C$4),ROWS($N$16:N20)),"")</f>
        <v/>
      </c>
    </row>
    <row r="21" spans="2:15" x14ac:dyDescent="0.25">
      <c r="B21" s="111" t="str" cm="1">
        <f t="array" ref="B21">IF($N21="","",INDEX(الطلاب!$B$4:$B$100,$N21))</f>
        <v/>
      </c>
      <c r="C21" s="112" t="str" cm="1">
        <f t="array" ref="C21">IF($N21="","",INDEX(الطلاب!$P$4:$P$100,$N21))</f>
        <v/>
      </c>
      <c r="D21" s="112" t="str" cm="1">
        <f t="array" ref="D21">IF($N21="","",INDEX(الطلاب!$E$4:$E$100,$N21))</f>
        <v/>
      </c>
      <c r="E21" s="112" t="str" cm="1">
        <f t="array" ref="E21">IF($N21="","",INDEX(الطلاب!$R$4:$R$100,$N21))</f>
        <v/>
      </c>
      <c r="F21" s="113" t="str" cm="1">
        <f t="array" ref="F21">IF($N21="","",INDEX(الطلاب!$S$4:$S$100,$N21))</f>
        <v/>
      </c>
      <c r="G21" s="113" t="str" cm="1">
        <f t="array" ref="G21">IF($N21="","",INDEX(الطلاب!$T$4:$T$100,$N21))</f>
        <v/>
      </c>
      <c r="H21" s="112" t="str" cm="1">
        <f t="array" ref="H21">IF($N21="","",IF(INDEX(الطلاب!$U$4:$U$100,$N21)="","—",INDEX(الطلاب!$U$4:$U$100,$N21)))</f>
        <v/>
      </c>
      <c r="I21" s="113" t="str" cm="1">
        <f t="array" ref="I21">IF($N21="","",IF(INDEX(الطلاب!$V$4:$V$100,$N21)="","",INDEX(الطلاب!$V$4:$V$100,$N21)))</f>
        <v/>
      </c>
      <c r="J21" s="113" t="str" cm="1">
        <f t="array" ref="J21">IF($N21="","",IF(INDEX(الطلاب!$W$4:$W$100,$N21)="","",INDEX(الطلاب!$W$4:$W$100,$N21)))</f>
        <v/>
      </c>
      <c r="K21" s="114" t="str" cm="1">
        <f t="array" ref="K21">IF($N21="","",INDEX(الطلاب!$Y$4:$Y$100,$N21))</f>
        <v/>
      </c>
      <c r="N21" t="str" cm="1">
        <f t="array" ref="N21">IFERROR(_xlfn.AGGREGATE(15,6,(ROW(الطلاب!$Q$4:$Q$100)-ROW(الطلاب!$Q$4)+1)/(الطلاب!$Q$4:$Q$100=$C$4),ROWS($N$16:N21)),"")</f>
        <v/>
      </c>
    </row>
    <row r="22" spans="2:15" x14ac:dyDescent="0.25">
      <c r="B22" s="111" t="str" cm="1">
        <f t="array" ref="B22">IF($N22="","",INDEX(الطلاب!$B$4:$B$100,$N22))</f>
        <v/>
      </c>
      <c r="C22" s="112" t="str" cm="1">
        <f t="array" ref="C22">IF($N22="","",INDEX(الطلاب!$P$4:$P$100,$N22))</f>
        <v/>
      </c>
      <c r="D22" s="112" t="str" cm="1">
        <f t="array" ref="D22">IF($N22="","",INDEX(الطلاب!$E$4:$E$100,$N22))</f>
        <v/>
      </c>
      <c r="E22" s="112" t="str" cm="1">
        <f t="array" ref="E22">IF($N22="","",INDEX(الطلاب!$R$4:$R$100,$N22))</f>
        <v/>
      </c>
      <c r="F22" s="113" t="str" cm="1">
        <f t="array" ref="F22">IF($N22="","",INDEX(الطلاب!$S$4:$S$100,$N22))</f>
        <v/>
      </c>
      <c r="G22" s="113" t="str" cm="1">
        <f t="array" ref="G22">IF($N22="","",INDEX(الطلاب!$T$4:$T$100,$N22))</f>
        <v/>
      </c>
      <c r="H22" s="112" t="str" cm="1">
        <f t="array" ref="H22">IF($N22="","",IF(INDEX(الطلاب!$U$4:$U$100,$N22)="","—",INDEX(الطلاب!$U$4:$U$100,$N22)))</f>
        <v/>
      </c>
      <c r="I22" s="113" t="str" cm="1">
        <f t="array" ref="I22">IF($N22="","",IF(INDEX(الطلاب!$V$4:$V$100,$N22)="","",INDEX(الطلاب!$V$4:$V$100,$N22)))</f>
        <v/>
      </c>
      <c r="J22" s="113" t="str" cm="1">
        <f t="array" ref="J22">IF($N22="","",IF(INDEX(الطلاب!$W$4:$W$100,$N22)="","",INDEX(الطلاب!$W$4:$W$100,$N22)))</f>
        <v/>
      </c>
      <c r="K22" s="114" t="str" cm="1">
        <f t="array" ref="K22">IF($N22="","",INDEX(الطلاب!$Y$4:$Y$100,$N22))</f>
        <v/>
      </c>
      <c r="N22" t="str" cm="1">
        <f t="array" ref="N22">IFERROR(_xlfn.AGGREGATE(15,6,(ROW(الطلاب!$Q$4:$Q$100)-ROW(الطلاب!$Q$4)+1)/(الطلاب!$Q$4:$Q$100=$C$4),ROWS($N$16:N22)),"")</f>
        <v/>
      </c>
    </row>
    <row r="23" spans="2:15" x14ac:dyDescent="0.25">
      <c r="B23" s="111" t="str" cm="1">
        <f t="array" ref="B23">IF($N23="","",INDEX(الطلاب!$B$4:$B$100,$N23))</f>
        <v/>
      </c>
      <c r="C23" s="112" t="str" cm="1">
        <f t="array" ref="C23">IF($N23="","",INDEX(الطلاب!$P$4:$P$100,$N23))</f>
        <v/>
      </c>
      <c r="D23" s="112" t="str" cm="1">
        <f t="array" ref="D23">IF($N23="","",INDEX(الطلاب!$E$4:$E$100,$N23))</f>
        <v/>
      </c>
      <c r="E23" s="112" t="str" cm="1">
        <f t="array" ref="E23">IF($N23="","",INDEX(الطلاب!$R$4:$R$100,$N23))</f>
        <v/>
      </c>
      <c r="F23" s="113" t="str" cm="1">
        <f t="array" ref="F23">IF($N23="","",INDEX(الطلاب!$S$4:$S$100,$N23))</f>
        <v/>
      </c>
      <c r="G23" s="113" t="str" cm="1">
        <f t="array" ref="G23">IF($N23="","",INDEX(الطلاب!$T$4:$T$100,$N23))</f>
        <v/>
      </c>
      <c r="H23" s="112" t="str" cm="1">
        <f t="array" ref="H23">IF($N23="","",IF(INDEX(الطلاب!$U$4:$U$100,$N23)="","—",INDEX(الطلاب!$U$4:$U$100,$N23)))</f>
        <v/>
      </c>
      <c r="I23" s="113" t="str" cm="1">
        <f t="array" ref="I23">IF($N23="","",IF(INDEX(الطلاب!$V$4:$V$100,$N23)="","",INDEX(الطلاب!$V$4:$V$100,$N23)))</f>
        <v/>
      </c>
      <c r="J23" s="113" t="str" cm="1">
        <f t="array" ref="J23">IF($N23="","",IF(INDEX(الطلاب!$W$4:$W$100,$N23)="","",INDEX(الطلاب!$W$4:$W$100,$N23)))</f>
        <v/>
      </c>
      <c r="K23" s="114" t="str" cm="1">
        <f t="array" ref="K23">IF($N23="","",INDEX(الطلاب!$Y$4:$Y$100,$N23))</f>
        <v/>
      </c>
      <c r="N23" t="str" cm="1">
        <f t="array" ref="N23">IFERROR(_xlfn.AGGREGATE(15,6,(ROW(الطلاب!$Q$4:$Q$100)-ROW(الطلاب!$Q$4)+1)/(الطلاب!$Q$4:$Q$100=$C$4),ROWS($N$16:N23)),"")</f>
        <v/>
      </c>
    </row>
    <row r="24" spans="2:15" x14ac:dyDescent="0.25">
      <c r="B24" s="111" t="str" cm="1">
        <f t="array" ref="B24">IF($N24="","",INDEX(الطلاب!$B$4:$B$100,$N24))</f>
        <v/>
      </c>
      <c r="C24" s="112" t="str" cm="1">
        <f t="array" ref="C24">IF($N24="","",INDEX(الطلاب!$P$4:$P$100,$N24))</f>
        <v/>
      </c>
      <c r="D24" s="112" t="str" cm="1">
        <f t="array" ref="D24">IF($N24="","",INDEX(الطلاب!$E$4:$E$100,$N24))</f>
        <v/>
      </c>
      <c r="E24" s="112" t="str" cm="1">
        <f t="array" ref="E24">IF($N24="","",INDEX(الطلاب!$R$4:$R$100,$N24))</f>
        <v/>
      </c>
      <c r="F24" s="113" t="str" cm="1">
        <f t="array" ref="F24">IF($N24="","",INDEX(الطلاب!$S$4:$S$100,$N24))</f>
        <v/>
      </c>
      <c r="G24" s="113" t="str" cm="1">
        <f t="array" ref="G24">IF($N24="","",INDEX(الطلاب!$T$4:$T$100,$N24))</f>
        <v/>
      </c>
      <c r="H24" s="112" t="str" cm="1">
        <f t="array" ref="H24">IF($N24="","",IF(INDEX(الطلاب!$U$4:$U$100,$N24)="","—",INDEX(الطلاب!$U$4:$U$100,$N24)))</f>
        <v/>
      </c>
      <c r="I24" s="113" t="str" cm="1">
        <f t="array" ref="I24">IF($N24="","",IF(INDEX(الطلاب!$V$4:$V$100,$N24)="","",INDEX(الطلاب!$V$4:$V$100,$N24)))</f>
        <v/>
      </c>
      <c r="J24" s="113" t="str" cm="1">
        <f t="array" ref="J24">IF($N24="","",IF(INDEX(الطلاب!$W$4:$W$100,$N24)="","",INDEX(الطلاب!$W$4:$W$100,$N24)))</f>
        <v/>
      </c>
      <c r="K24" s="114" t="str" cm="1">
        <f t="array" ref="K24">IF($N24="","",INDEX(الطلاب!$Y$4:$Y$100,$N24))</f>
        <v/>
      </c>
      <c r="N24" t="str" cm="1">
        <f t="array" ref="N24">IFERROR(_xlfn.AGGREGATE(15,6,(ROW(الطلاب!$Q$4:$Q$100)-ROW(الطلاب!$Q$4)+1)/(الطلاب!$Q$4:$Q$100=$C$4),ROWS($N$16:N24)),"")</f>
        <v/>
      </c>
    </row>
    <row r="25" spans="2:15" x14ac:dyDescent="0.25">
      <c r="B25" s="111" t="str" cm="1">
        <f t="array" ref="B25">IF($N25="","",INDEX(الطلاب!$B$4:$B$100,$N25))</f>
        <v/>
      </c>
      <c r="C25" s="112" t="str" cm="1">
        <f t="array" ref="C25">IF($N25="","",INDEX(الطلاب!$P$4:$P$100,$N25))</f>
        <v/>
      </c>
      <c r="D25" s="112" t="str" cm="1">
        <f t="array" ref="D25">IF($N25="","",INDEX(الطلاب!$E$4:$E$100,$N25))</f>
        <v/>
      </c>
      <c r="E25" s="112" t="str" cm="1">
        <f t="array" ref="E25">IF($N25="","",INDEX(الطلاب!$R$4:$R$100,$N25))</f>
        <v/>
      </c>
      <c r="F25" s="113" t="str" cm="1">
        <f t="array" ref="F25">IF($N25="","",INDEX(الطلاب!$S$4:$S$100,$N25))</f>
        <v/>
      </c>
      <c r="G25" s="113" t="str" cm="1">
        <f t="array" ref="G25">IF($N25="","",INDEX(الطلاب!$T$4:$T$100,$N25))</f>
        <v/>
      </c>
      <c r="H25" s="112" t="str" cm="1">
        <f t="array" ref="H25">IF($N25="","",IF(INDEX(الطلاب!$U$4:$U$100,$N25)="","—",INDEX(الطلاب!$U$4:$U$100,$N25)))</f>
        <v/>
      </c>
      <c r="I25" s="113" t="str" cm="1">
        <f t="array" ref="I25">IF($N25="","",IF(INDEX(الطلاب!$V$4:$V$100,$N25)="","",INDEX(الطلاب!$V$4:$V$100,$N25)))</f>
        <v/>
      </c>
      <c r="J25" s="113" t="str" cm="1">
        <f t="array" ref="J25">IF($N25="","",IF(INDEX(الطلاب!$W$4:$W$100,$N25)="","",INDEX(الطلاب!$W$4:$W$100,$N25)))</f>
        <v/>
      </c>
      <c r="K25" s="114" t="str" cm="1">
        <f t="array" ref="K25">IF($N25="","",INDEX(الطلاب!$Y$4:$Y$100,$N25))</f>
        <v/>
      </c>
      <c r="N25" t="str" cm="1">
        <f t="array" ref="N25">IFERROR(_xlfn.AGGREGATE(15,6,(ROW(الطلاب!$Q$4:$Q$100)-ROW(الطلاب!$Q$4)+1)/(الطلاب!$Q$4:$Q$100=$C$4),ROWS($N$16:N25)),"")</f>
        <v/>
      </c>
    </row>
    <row r="26" spans="2:15" x14ac:dyDescent="0.25">
      <c r="B26" s="111" t="str" cm="1">
        <f t="array" ref="B26">IF($N26="","",INDEX(الطلاب!$B$4:$B$100,$N26))</f>
        <v/>
      </c>
      <c r="C26" s="112" t="str" cm="1">
        <f t="array" ref="C26">IF($N26="","",INDEX(الطلاب!$P$4:$P$100,$N26))</f>
        <v/>
      </c>
      <c r="D26" s="112" t="str" cm="1">
        <f t="array" ref="D26">IF($N26="","",INDEX(الطلاب!$E$4:$E$100,$N26))</f>
        <v/>
      </c>
      <c r="E26" s="112" t="str" cm="1">
        <f t="array" ref="E26">IF($N26="","",INDEX(الطلاب!$R$4:$R$100,$N26))</f>
        <v/>
      </c>
      <c r="F26" s="113" t="str" cm="1">
        <f t="array" ref="F26">IF($N26="","",INDEX(الطلاب!$S$4:$S$100,$N26))</f>
        <v/>
      </c>
      <c r="G26" s="113" t="str" cm="1">
        <f t="array" ref="G26">IF($N26="","",INDEX(الطلاب!$T$4:$T$100,$N26))</f>
        <v/>
      </c>
      <c r="H26" s="112" t="str" cm="1">
        <f t="array" ref="H26">IF($N26="","",IF(INDEX(الطلاب!$U$4:$U$100,$N26)="","—",INDEX(الطلاب!$U$4:$U$100,$N26)))</f>
        <v/>
      </c>
      <c r="I26" s="113" t="str" cm="1">
        <f t="array" ref="I26">IF($N26="","",IF(INDEX(الطلاب!$V$4:$V$100,$N26)="","",INDEX(الطلاب!$V$4:$V$100,$N26)))</f>
        <v/>
      </c>
      <c r="J26" s="113" t="str" cm="1">
        <f t="array" ref="J26">IF($N26="","",IF(INDEX(الطلاب!$W$4:$W$100,$N26)="","",INDEX(الطلاب!$W$4:$W$100,$N26)))</f>
        <v/>
      </c>
      <c r="K26" s="114" t="str" cm="1">
        <f t="array" ref="K26">IF($N26="","",INDEX(الطلاب!$Y$4:$Y$100,$N26))</f>
        <v/>
      </c>
      <c r="N26" t="str" cm="1">
        <f t="array" ref="N26">IFERROR(_xlfn.AGGREGATE(15,6,(ROW(الطلاب!$Q$4:$Q$100)-ROW(الطلاب!$Q$4)+1)/(الطلاب!$Q$4:$Q$100=$C$4),ROWS($N$16:N26)),"")</f>
        <v/>
      </c>
    </row>
    <row r="27" spans="2:15" x14ac:dyDescent="0.25">
      <c r="B27" s="111" t="str" cm="1">
        <f t="array" ref="B27">IF($N27="","",INDEX(الطلاب!$B$4:$B$100,$N27))</f>
        <v/>
      </c>
      <c r="C27" s="112" t="str" cm="1">
        <f t="array" ref="C27">IF($N27="","",INDEX(الطلاب!$P$4:$P$100,$N27))</f>
        <v/>
      </c>
      <c r="D27" s="112" t="str" cm="1">
        <f t="array" ref="D27">IF($N27="","",INDEX(الطلاب!$E$4:$E$100,$N27))</f>
        <v/>
      </c>
      <c r="E27" s="112" t="str" cm="1">
        <f t="array" ref="E27">IF($N27="","",INDEX(الطلاب!$R$4:$R$100,$N27))</f>
        <v/>
      </c>
      <c r="F27" s="113" t="str" cm="1">
        <f t="array" ref="F27">IF($N27="","",INDEX(الطلاب!$S$4:$S$100,$N27))</f>
        <v/>
      </c>
      <c r="G27" s="113" t="str" cm="1">
        <f t="array" ref="G27">IF($N27="","",INDEX(الطلاب!$T$4:$T$100,$N27))</f>
        <v/>
      </c>
      <c r="H27" s="112" t="str" cm="1">
        <f t="array" ref="H27">IF($N27="","",IF(INDEX(الطلاب!$U$4:$U$100,$N27)="","—",INDEX(الطلاب!$U$4:$U$100,$N27)))</f>
        <v/>
      </c>
      <c r="I27" s="113" t="str" cm="1">
        <f t="array" ref="I27">IF($N27="","",IF(INDEX(الطلاب!$V$4:$V$100,$N27)="","",INDEX(الطلاب!$V$4:$V$100,$N27)))</f>
        <v/>
      </c>
      <c r="J27" s="113" t="str" cm="1">
        <f t="array" ref="J27">IF($N27="","",IF(INDEX(الطلاب!$W$4:$W$100,$N27)="","",INDEX(الطلاب!$W$4:$W$100,$N27)))</f>
        <v/>
      </c>
      <c r="K27" s="114" t="str" cm="1">
        <f t="array" ref="K27">IF($N27="","",INDEX(الطلاب!$Y$4:$Y$100,$N27))</f>
        <v/>
      </c>
      <c r="N27" t="str" cm="1">
        <f t="array" ref="N27">IFERROR(_xlfn.AGGREGATE(15,6,(ROW(الطلاب!$Q$4:$Q$100)-ROW(الطلاب!$Q$4)+1)/(الطلاب!$Q$4:$Q$100=$C$4),ROWS($N$16:N27)),"")</f>
        <v/>
      </c>
    </row>
    <row r="29" spans="2:15" x14ac:dyDescent="0.25">
      <c r="B29" s="158" t="s">
        <v>369</v>
      </c>
      <c r="C29" s="158"/>
      <c r="D29" s="158"/>
      <c r="E29" s="158"/>
      <c r="F29" s="158"/>
      <c r="G29" s="158"/>
      <c r="H29" s="158"/>
      <c r="I29" s="158"/>
      <c r="J29" s="158"/>
      <c r="K29" s="158"/>
    </row>
    <row r="30" spans="2:15" x14ac:dyDescent="0.25">
      <c r="B30" s="110" t="s">
        <v>153</v>
      </c>
      <c r="C30" s="110" t="s">
        <v>157</v>
      </c>
      <c r="D30" s="110" t="s">
        <v>158</v>
      </c>
      <c r="E30" s="110" t="s">
        <v>159</v>
      </c>
      <c r="F30" s="108" t="s">
        <v>79</v>
      </c>
    </row>
    <row r="31" spans="2:15" x14ac:dyDescent="0.25">
      <c r="B31" s="115" t="str" cm="1">
        <f t="array" ref="B31">IF($O31="","",INDEX('الحركات المالية'!$B$4:$B$200,$O31))</f>
        <v/>
      </c>
      <c r="C31" s="116" t="str" cm="1">
        <f t="array" ref="C31">IF($O31="","",INDEX('الحركات المالية'!$F$4:$F$200,$O31))</f>
        <v/>
      </c>
      <c r="D31" s="112" t="str" cm="1">
        <f t="array" ref="D31">IF($O31="","",INDEX('الحركات المالية'!$G$4:$G$200,$O31))</f>
        <v/>
      </c>
      <c r="E31" s="112" t="str">
        <f>IF($O31="","",T(INDEX('الحركات المالية'!$H$4:$H$200,$O31)))</f>
        <v/>
      </c>
      <c r="F31" s="109" t="str">
        <f>IF($O31="","",T(INDEX('الحركات المالية'!$K$4:$K$200,$O31)))</f>
        <v/>
      </c>
      <c r="O31" t="str" cm="1">
        <f t="array" ref="O31">IFERROR(_xlfn.AGGREGATE(15,6,(ROW('الحركات المالية'!$A$4:$A$200)-ROW('الحركات المالية'!$A$4)+1)/(('الحركات المالية'!$C$4:$C$200="دفعة معلم")*('الحركات المالية'!$D$4:$D$200=$C$4)),ROWS($O$31:O31)),"")</f>
        <v/>
      </c>
    </row>
    <row r="32" spans="2:15" x14ac:dyDescent="0.25">
      <c r="B32" s="115" t="str" cm="1">
        <f t="array" ref="B32">IF($O32="","",INDEX('الحركات المالية'!$B$4:$B$200,$O32))</f>
        <v/>
      </c>
      <c r="C32" s="116" t="str" cm="1">
        <f t="array" ref="C32">IF($O32="","",INDEX('الحركات المالية'!$F$4:$F$200,$O32))</f>
        <v/>
      </c>
      <c r="D32" s="112" t="str" cm="1">
        <f t="array" ref="D32">IF($O32="","",INDEX('الحركات المالية'!$G$4:$G$200,$O32))</f>
        <v/>
      </c>
      <c r="E32" s="112" t="str">
        <f>IF($O32="","",T(INDEX('الحركات المالية'!$H$4:$H$200,$O32)))</f>
        <v/>
      </c>
      <c r="F32" s="109" t="str">
        <f>IF($O32="","",T(INDEX('الحركات المالية'!$K$4:$K$200,$O32)))</f>
        <v/>
      </c>
      <c r="O32" t="str" cm="1">
        <f t="array" ref="O32">IFERROR(_xlfn.AGGREGATE(15,6,(ROW('الحركات المالية'!$A$4:$A$200)-ROW('الحركات المالية'!$A$4)+1)/(('الحركات المالية'!$C$4:$C$200="دفعة معلم")*('الحركات المالية'!$D$4:$D$200=$C$4)),ROWS($O$31:O32)),"")</f>
        <v/>
      </c>
    </row>
    <row r="33" spans="2:15" x14ac:dyDescent="0.25">
      <c r="B33" s="115" t="str" cm="1">
        <f t="array" ref="B33">IF($O33="","",INDEX('الحركات المالية'!$B$4:$B$200,$O33))</f>
        <v/>
      </c>
      <c r="C33" s="116" t="str" cm="1">
        <f t="array" ref="C33">IF($O33="","",INDEX('الحركات المالية'!$F$4:$F$200,$O33))</f>
        <v/>
      </c>
      <c r="D33" s="112" t="str" cm="1">
        <f t="array" ref="D33">IF($O33="","",INDEX('الحركات المالية'!$G$4:$G$200,$O33))</f>
        <v/>
      </c>
      <c r="E33" s="112" t="str">
        <f>IF($O33="","",T(INDEX('الحركات المالية'!$H$4:$H$200,$O33)))</f>
        <v/>
      </c>
      <c r="F33" s="109" t="str">
        <f>IF($O33="","",T(INDEX('الحركات المالية'!$K$4:$K$200,$O33)))</f>
        <v/>
      </c>
      <c r="O33" t="str" cm="1">
        <f t="array" ref="O33">IFERROR(_xlfn.AGGREGATE(15,6,(ROW('الحركات المالية'!$A$4:$A$200)-ROW('الحركات المالية'!$A$4)+1)/(('الحركات المالية'!$C$4:$C$200="دفعة معلم")*('الحركات المالية'!$D$4:$D$200=$C$4)),ROWS($O$31:O33)),"")</f>
        <v/>
      </c>
    </row>
    <row r="34" spans="2:15" x14ac:dyDescent="0.25">
      <c r="B34" s="115" t="str" cm="1">
        <f t="array" ref="B34">IF($O34="","",INDEX('الحركات المالية'!$B$4:$B$200,$O34))</f>
        <v/>
      </c>
      <c r="C34" s="116" t="str" cm="1">
        <f t="array" ref="C34">IF($O34="","",INDEX('الحركات المالية'!$F$4:$F$200,$O34))</f>
        <v/>
      </c>
      <c r="D34" s="112" t="str" cm="1">
        <f t="array" ref="D34">IF($O34="","",INDEX('الحركات المالية'!$G$4:$G$200,$O34))</f>
        <v/>
      </c>
      <c r="E34" s="112" t="str">
        <f>IF($O34="","",T(INDEX('الحركات المالية'!$H$4:$H$200,$O34)))</f>
        <v/>
      </c>
      <c r="F34" s="109" t="str">
        <f>IF($O34="","",T(INDEX('الحركات المالية'!$K$4:$K$200,$O34)))</f>
        <v/>
      </c>
      <c r="O34" t="str" cm="1">
        <f t="array" ref="O34">IFERROR(_xlfn.AGGREGATE(15,6,(ROW('الحركات المالية'!$A$4:$A$200)-ROW('الحركات المالية'!$A$4)+1)/(('الحركات المالية'!$C$4:$C$200="دفعة معلم")*('الحركات المالية'!$D$4:$D$200=$C$4)),ROWS($O$31:O34)),"")</f>
        <v/>
      </c>
    </row>
    <row r="35" spans="2:15" x14ac:dyDescent="0.25">
      <c r="B35" s="115" t="str" cm="1">
        <f t="array" ref="B35">IF($O35="","",INDEX('الحركات المالية'!$B$4:$B$200,$O35))</f>
        <v/>
      </c>
      <c r="C35" s="116" t="str" cm="1">
        <f t="array" ref="C35">IF($O35="","",INDEX('الحركات المالية'!$F$4:$F$200,$O35))</f>
        <v/>
      </c>
      <c r="D35" s="112" t="str" cm="1">
        <f t="array" ref="D35">IF($O35="","",INDEX('الحركات المالية'!$G$4:$G$200,$O35))</f>
        <v/>
      </c>
      <c r="E35" s="112" t="str">
        <f>IF($O35="","",T(INDEX('الحركات المالية'!$H$4:$H$200,$O35)))</f>
        <v/>
      </c>
      <c r="F35" s="109" t="str">
        <f>IF($O35="","",T(INDEX('الحركات المالية'!$K$4:$K$200,$O35)))</f>
        <v/>
      </c>
      <c r="O35" t="str" cm="1">
        <f t="array" ref="O35">IFERROR(_xlfn.AGGREGATE(15,6,(ROW('الحركات المالية'!$A$4:$A$200)-ROW('الحركات المالية'!$A$4)+1)/(('الحركات المالية'!$C$4:$C$200="دفعة معلم")*('الحركات المالية'!$D$4:$D$200=$C$4)),ROWS($O$31:O35)),"")</f>
        <v/>
      </c>
    </row>
    <row r="36" spans="2:15" x14ac:dyDescent="0.25">
      <c r="B36" s="115" t="str" cm="1">
        <f t="array" ref="B36">IF($O36="","",INDEX('الحركات المالية'!$B$4:$B$200,$O36))</f>
        <v/>
      </c>
      <c r="C36" s="116" t="str" cm="1">
        <f t="array" ref="C36">IF($O36="","",INDEX('الحركات المالية'!$F$4:$F$200,$O36))</f>
        <v/>
      </c>
      <c r="D36" s="112" t="str" cm="1">
        <f t="array" ref="D36">IF($O36="","",INDEX('الحركات المالية'!$G$4:$G$200,$O36))</f>
        <v/>
      </c>
      <c r="E36" s="112" t="str">
        <f>IF($O36="","",T(INDEX('الحركات المالية'!$H$4:$H$200,$O36)))</f>
        <v/>
      </c>
      <c r="F36" s="109" t="str">
        <f>IF($O36="","",T(INDEX('الحركات المالية'!$K$4:$K$200,$O36)))</f>
        <v/>
      </c>
      <c r="O36" t="str" cm="1">
        <f t="array" ref="O36">IFERROR(_xlfn.AGGREGATE(15,6,(ROW('الحركات المالية'!$A$4:$A$200)-ROW('الحركات المالية'!$A$4)+1)/(('الحركات المالية'!$C$4:$C$200="دفعة معلم")*('الحركات المالية'!$D$4:$D$200=$C$4)),ROWS($O$31:O36)),"")</f>
        <v/>
      </c>
    </row>
    <row r="37" spans="2:15" x14ac:dyDescent="0.25">
      <c r="B37" s="115" t="str" cm="1">
        <f t="array" ref="B37">IF($O37="","",INDEX('الحركات المالية'!$B$4:$B$200,$O37))</f>
        <v/>
      </c>
      <c r="C37" s="116" t="str" cm="1">
        <f t="array" ref="C37">IF($O37="","",INDEX('الحركات المالية'!$F$4:$F$200,$O37))</f>
        <v/>
      </c>
      <c r="D37" s="112" t="str" cm="1">
        <f t="array" ref="D37">IF($O37="","",INDEX('الحركات المالية'!$G$4:$G$200,$O37))</f>
        <v/>
      </c>
      <c r="E37" s="112" t="str">
        <f>IF($O37="","",T(INDEX('الحركات المالية'!$H$4:$H$200,$O37)))</f>
        <v/>
      </c>
      <c r="F37" s="109" t="str">
        <f>IF($O37="","",T(INDEX('الحركات المالية'!$K$4:$K$200,$O37)))</f>
        <v/>
      </c>
      <c r="O37" t="str" cm="1">
        <f t="array" ref="O37">IFERROR(_xlfn.AGGREGATE(15,6,(ROW('الحركات المالية'!$A$4:$A$200)-ROW('الحركات المالية'!$A$4)+1)/(('الحركات المالية'!$C$4:$C$200="دفعة معلم")*('الحركات المالية'!$D$4:$D$200=$C$4)),ROWS($O$31:O37)),"")</f>
        <v/>
      </c>
    </row>
    <row r="38" spans="2:15" x14ac:dyDescent="0.25">
      <c r="B38" s="115" t="str" cm="1">
        <f t="array" ref="B38">IF($O38="","",INDEX('الحركات المالية'!$B$4:$B$200,$O38))</f>
        <v/>
      </c>
      <c r="C38" s="116" t="str" cm="1">
        <f t="array" ref="C38">IF($O38="","",INDEX('الحركات المالية'!$F$4:$F$200,$O38))</f>
        <v/>
      </c>
      <c r="D38" s="112" t="str" cm="1">
        <f t="array" ref="D38">IF($O38="","",INDEX('الحركات المالية'!$G$4:$G$200,$O38))</f>
        <v/>
      </c>
      <c r="E38" s="112" t="str">
        <f>IF($O38="","",T(INDEX('الحركات المالية'!$H$4:$H$200,$O38)))</f>
        <v/>
      </c>
      <c r="F38" s="109" t="str">
        <f>IF($O38="","",T(INDEX('الحركات المالية'!$K$4:$K$200,$O38)))</f>
        <v/>
      </c>
      <c r="O38" t="str" cm="1">
        <f t="array" ref="O38">IFERROR(_xlfn.AGGREGATE(15,6,(ROW('الحركات المالية'!$A$4:$A$200)-ROW('الحركات المالية'!$A$4)+1)/(('الحركات المالية'!$C$4:$C$200="دفعة معلم")*('الحركات المالية'!$D$4:$D$200=$C$4)),ROWS($O$31:O38)),"")</f>
        <v/>
      </c>
    </row>
    <row r="39" spans="2:15" x14ac:dyDescent="0.25">
      <c r="B39" s="107" t="s">
        <v>370</v>
      </c>
      <c r="C39" s="117">
        <f>SUMIFS('الحركات المالية'!$F$4:$F$200,'الحركات المالية'!$C$4:$C$200,"دفعة معلم",'الحركات المالية'!$D$4:$D$200,$C$4)</f>
        <v>0</v>
      </c>
      <c r="D39" s="118"/>
      <c r="E39" s="118"/>
      <c r="F39" s="119"/>
    </row>
  </sheetData>
  <mergeCells count="8">
    <mergeCell ref="B29:K29"/>
    <mergeCell ref="C4:E4"/>
    <mergeCell ref="C8:K8"/>
    <mergeCell ref="B1:K1"/>
    <mergeCell ref="B2:K2"/>
    <mergeCell ref="B6:K6"/>
    <mergeCell ref="B10:K10"/>
    <mergeCell ref="B14:K14"/>
  </mergeCells>
  <pageMargins left="0.27777777777777779" right="0.27777777777777779" top="0.27777777777777779" bottom="0.27777777777777779" header="0.3" footer="0.3"/>
  <pageSetup paperSize="9" scale="7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44CAC3-7454-418F-A83E-9FD673E758BA}">
          <x14:formula1>
            <xm:f>المعلمون!$B$4:$B$7</xm:f>
          </x14:formula1>
          <xm:sqref>C4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9728-BB5D-4AF0-A9A7-D2596062EA37}">
  <sheetPr>
    <tabColor rgb="FFA9D18E"/>
  </sheetPr>
  <dimension ref="B1:O31"/>
  <sheetViews>
    <sheetView showGridLines="0" rightToLeft="1" workbookViewId="0">
      <selection activeCell="A3" sqref="A3:XFD3"/>
    </sheetView>
  </sheetViews>
  <sheetFormatPr defaultRowHeight="13.8" outlineLevelCol="1" x14ac:dyDescent="0.25"/>
  <cols>
    <col min="2" max="2" width="20" customWidth="1"/>
    <col min="3" max="3" width="15.796875" customWidth="1"/>
    <col min="4" max="4" width="13.296875" customWidth="1"/>
    <col min="5" max="6" width="12.5" customWidth="1"/>
    <col min="7" max="7" width="13.296875" customWidth="1"/>
    <col min="8" max="8" width="12.5" customWidth="1"/>
    <col min="9" max="9" width="15" customWidth="1"/>
    <col min="10" max="10" width="14.19921875" customWidth="1"/>
    <col min="11" max="11" width="15.796875" customWidth="1"/>
    <col min="14" max="15" width="8.796875" outlineLevel="1"/>
  </cols>
  <sheetData>
    <row r="1" spans="2:14" ht="22.8" x14ac:dyDescent="0.4">
      <c r="B1" s="167" t="str">
        <f>الإعدادات!$B$5</f>
        <v>معهد ألفا</v>
      </c>
      <c r="C1" s="167"/>
      <c r="D1" s="167"/>
      <c r="E1" s="167"/>
      <c r="F1" s="167"/>
      <c r="G1" s="167"/>
      <c r="H1" s="167"/>
      <c r="I1" s="167"/>
      <c r="J1" s="167"/>
      <c r="K1" s="167"/>
      <c r="N1">
        <f>IFERROR(MATCH($C$4,الطلاب!$A$4:$A$100,0),"")</f>
        <v>1</v>
      </c>
    </row>
    <row r="2" spans="2:14" ht="17.399999999999999" x14ac:dyDescent="0.3">
      <c r="B2" s="168" t="s">
        <v>371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4" x14ac:dyDescent="0.25">
      <c r="B3" s="120" t="s">
        <v>360</v>
      </c>
      <c r="C3" s="121">
        <f ca="1">TODAY()</f>
        <v>46220</v>
      </c>
    </row>
    <row r="4" spans="2:14" x14ac:dyDescent="0.25">
      <c r="B4" s="104" t="s">
        <v>372</v>
      </c>
      <c r="C4" s="159" t="s">
        <v>373</v>
      </c>
      <c r="D4" s="159"/>
      <c r="E4" s="159"/>
    </row>
    <row r="6" spans="2:14" x14ac:dyDescent="0.25">
      <c r="B6" s="166" t="s">
        <v>374</v>
      </c>
      <c r="C6" s="166"/>
      <c r="D6" s="166"/>
      <c r="E6" s="166"/>
      <c r="F6" s="166"/>
      <c r="G6" s="166"/>
      <c r="H6" s="166"/>
      <c r="I6" s="166"/>
      <c r="J6" s="166"/>
      <c r="K6" s="166"/>
    </row>
    <row r="7" spans="2:14" x14ac:dyDescent="0.25">
      <c r="B7" s="122" t="s">
        <v>375</v>
      </c>
      <c r="C7" s="123" t="str" cm="1">
        <f t="array" ref="C7">IF($N$1="","",INDEX(الطلاب!$A$4:$A$100,$N$1))</f>
        <v>STD-0001</v>
      </c>
      <c r="D7" s="122" t="s">
        <v>376</v>
      </c>
      <c r="E7" s="123" t="str" cm="1">
        <f t="array" ref="E7">IF($N$1="","",INDEX(الطلاب!$B$4:$B$100,$N$1))</f>
        <v>عبدالله ناصر المطيري</v>
      </c>
      <c r="F7" s="122" t="s">
        <v>377</v>
      </c>
      <c r="G7" s="123" t="str" cm="1">
        <f t="array" ref="G7">IF($N$1="","",INDEX(الطلاب!$C$4:$C$100,$N$1))</f>
        <v>60011122</v>
      </c>
      <c r="H7" s="122" t="s">
        <v>378</v>
      </c>
      <c r="I7" s="123" t="str" cm="1">
        <f t="array" ref="I7">IF($N$1="","",INDEX(الطلاب!$D$4:$D$100,$N$1))</f>
        <v>99011122</v>
      </c>
    </row>
    <row r="8" spans="2:14" x14ac:dyDescent="0.25">
      <c r="B8" s="122" t="s">
        <v>379</v>
      </c>
      <c r="C8" s="123" t="str" cm="1">
        <f t="array" ref="C8">IF($N$1="","",INDEX(الطلاب!$E$4:$E$100,$N$1))</f>
        <v>المتوسطة</v>
      </c>
      <c r="D8" s="122" t="s">
        <v>380</v>
      </c>
      <c r="E8" s="123" t="str" cm="1">
        <f t="array" ref="E8">IF($N$1="","",INDEX(الطلاب!$F$4:$F$100,$N$1))</f>
        <v>7</v>
      </c>
      <c r="F8" s="122" t="s">
        <v>381</v>
      </c>
      <c r="G8" s="123" t="str" cm="1">
        <f t="array" ref="G8">IF($N$1="","",INDEX(الطلاب!$G$4:$G$100,$N$1))</f>
        <v>وزاري (عربي)</v>
      </c>
      <c r="H8" s="122" t="s">
        <v>382</v>
      </c>
      <c r="I8" s="123" t="str" cm="1">
        <f t="array" ref="I8">IF($N$1="","",INDEX(الطلاب!$K$4:$K$100,$N$1))</f>
        <v>FAM-01</v>
      </c>
    </row>
    <row r="9" spans="2:14" x14ac:dyDescent="0.25">
      <c r="B9" s="122" t="s">
        <v>383</v>
      </c>
      <c r="C9" s="123" t="str" cm="1">
        <f t="array" ref="C9">IF($N$1="","",INDEX(الطلاب!$H$4:$H$100,$N$1))</f>
        <v>حولي</v>
      </c>
      <c r="D9" s="122" t="s">
        <v>384</v>
      </c>
      <c r="E9" s="123" t="str" cm="1">
        <f t="array" ref="E9">IF($N$1="","",INDEX(الطلاب!$I$4:$I$100,$N$1))</f>
        <v>الجابرية</v>
      </c>
      <c r="F9" s="122" t="s">
        <v>385</v>
      </c>
      <c r="G9" s="123" t="str" cm="1">
        <f t="array" ref="G9">IF($N$1="","",INDEX(الطلاب!$J$4:$J$100,$N$1))</f>
        <v>ق4 ش7 م12</v>
      </c>
      <c r="H9" s="122" t="s">
        <v>386</v>
      </c>
      <c r="I9" s="124" cm="1">
        <f t="array" ref="I9">IF($N$1="","",INDEX(الطلاب!$L$4:$L$100,$N$1))</f>
        <v>46027</v>
      </c>
    </row>
    <row r="11" spans="2:14" x14ac:dyDescent="0.25">
      <c r="B11" s="166" t="s">
        <v>387</v>
      </c>
      <c r="C11" s="166"/>
      <c r="D11" s="166"/>
      <c r="E11" s="166"/>
      <c r="F11" s="166"/>
      <c r="G11" s="166"/>
      <c r="H11" s="166"/>
      <c r="I11" s="166"/>
      <c r="J11" s="166"/>
      <c r="K11" s="166"/>
    </row>
    <row r="12" spans="2:14" x14ac:dyDescent="0.25">
      <c r="B12" s="125" t="s">
        <v>24</v>
      </c>
      <c r="C12" s="125" t="s">
        <v>27</v>
      </c>
      <c r="D12" s="125" t="s">
        <v>65</v>
      </c>
      <c r="E12" s="125" t="s">
        <v>367</v>
      </c>
      <c r="F12" s="125" t="s">
        <v>368</v>
      </c>
      <c r="G12" s="125" t="s">
        <v>68</v>
      </c>
      <c r="H12" s="125" t="s">
        <v>367</v>
      </c>
      <c r="I12" s="125" t="s">
        <v>368</v>
      </c>
      <c r="J12" s="125" t="s">
        <v>71</v>
      </c>
      <c r="K12" s="125" t="s">
        <v>388</v>
      </c>
    </row>
    <row r="13" spans="2:14" x14ac:dyDescent="0.25">
      <c r="B13" s="123" t="str" cm="1">
        <f t="array" ref="B13">IF($N$1="","",INDEX(الطلاب!$P$4:$P$100,$N$1))</f>
        <v>رياضيات</v>
      </c>
      <c r="C13" s="123" t="str" cm="1">
        <f t="array" ref="C13">IF($N$1="","",INDEX(الطلاب!$Q$4:$Q$100,$N$1))</f>
        <v>أحمد خالد الرشيدي</v>
      </c>
      <c r="D13" s="123" t="str" cm="1">
        <f t="array" ref="D13">IF($N$1="","",INDEX(الطلاب!$R$4:$R$100,$N$1))</f>
        <v/>
      </c>
      <c r="E13" s="126" t="str" cm="1">
        <f t="array" ref="E13">IF($N$1="","",INDEX(الطلاب!$S$4:$S$100,$N$1))</f>
        <v>الأربعاء</v>
      </c>
      <c r="F13" s="126" cm="1">
        <f t="array" ref="F13">IF($N$1="","",INDEX(الطلاب!$T$4:$T$100,$N$1))</f>
        <v>0.72916666666666663</v>
      </c>
      <c r="G13" s="123" cm="1">
        <f t="array" ref="G13">IF($N$1="","",INDEX(الطلاب!$U$4:$U$100,$N$1))</f>
        <v>0.79166666666666663</v>
      </c>
      <c r="H13" s="126" t="str" cm="1">
        <f t="array" ref="H13">IF($N$1="","",INDEX(الطلاب!$V$4:$V$100,$N$1))</f>
        <v>الجمعة</v>
      </c>
      <c r="I13" s="126" cm="1">
        <f t="array" ref="I13">IF($N$1="","",INDEX(الطلاب!$W$4:$W$100,$N$1))</f>
        <v>0.54166666666666663</v>
      </c>
      <c r="J13" s="127" cm="1">
        <f t="array" ref="J13">IF($N$1="","",INDEX(الطلاب!$X$4:$X$100,$N$1))</f>
        <v>0.58333333333333337</v>
      </c>
      <c r="K13" s="127" cm="1">
        <f t="array" ref="K13">IF($N$1="","",INDEX(الطلاب!$Y$4:$Y$100,$N$1))</f>
        <v>2.5</v>
      </c>
    </row>
    <row r="15" spans="2:14" x14ac:dyDescent="0.25">
      <c r="B15" s="166" t="s">
        <v>389</v>
      </c>
      <c r="C15" s="166"/>
      <c r="D15" s="166"/>
      <c r="E15" s="166"/>
      <c r="F15" s="166"/>
      <c r="G15" s="166"/>
      <c r="H15" s="166"/>
      <c r="I15" s="166"/>
      <c r="J15" s="166"/>
      <c r="K15" s="166"/>
    </row>
    <row r="16" spans="2:14" x14ac:dyDescent="0.25">
      <c r="B16" s="122" t="s">
        <v>390</v>
      </c>
      <c r="C16" s="127" cm="1">
        <f t="array" ref="C16">IF($N$1="","",INDEX(الطلاب!$Z$4:$Z$100,$N$1))</f>
        <v>4</v>
      </c>
      <c r="D16" s="122" t="s">
        <v>391</v>
      </c>
      <c r="E16" s="127" cm="1">
        <f t="array" ref="E16">IF($N$1="","",INDEX(الطلاب!$AA$4:$AA$100,$N$1))</f>
        <v>32</v>
      </c>
      <c r="F16" s="122" t="s">
        <v>392</v>
      </c>
      <c r="G16" s="128" cm="1">
        <f t="array" ref="G16">IF($N$1="","",INDEX(الطلاب!$AD$4:$AD$100,$N$1))</f>
        <v>56</v>
      </c>
      <c r="H16" s="122" t="s">
        <v>393</v>
      </c>
      <c r="I16" s="129" cm="1">
        <f t="array" ref="I16">IF($N$1="","",INDEX(الطلاب!$AB$4:$AB$100,$N$1))</f>
        <v>4</v>
      </c>
    </row>
    <row r="17" spans="2:15" x14ac:dyDescent="0.25">
      <c r="B17" s="118"/>
      <c r="C17" s="118"/>
      <c r="D17" s="118"/>
      <c r="E17" s="118"/>
      <c r="F17" s="118"/>
      <c r="G17" s="118"/>
      <c r="H17" s="118"/>
      <c r="I17" s="118"/>
    </row>
    <row r="18" spans="2:15" x14ac:dyDescent="0.25">
      <c r="B18" s="122" t="s">
        <v>394</v>
      </c>
      <c r="C18" s="129" cm="1">
        <f t="array" ref="C18">IF($N$1="","",INDEX(الطلاب!$AC$4:$AC$100,$N$1))</f>
        <v>86</v>
      </c>
      <c r="D18" s="122" t="s">
        <v>395</v>
      </c>
      <c r="E18" s="130" cm="1">
        <f t="array" ref="E18">IF($N$1="","",INDEX(الطلاب!$AE$4:$AE$100,$N$1))</f>
        <v>28</v>
      </c>
      <c r="F18" s="122" t="s">
        <v>396</v>
      </c>
      <c r="G18" s="123" cm="1">
        <f t="array" ref="G18">IF($N$1="","",INDEX(الطلاب!$AF$4:$AF$100,$N$1))</f>
        <v>30</v>
      </c>
      <c r="H18" s="122" t="s">
        <v>397</v>
      </c>
      <c r="I18" s="123" t="str" cm="1">
        <f t="array" ref="I18">IF($N$1="","",INDEX(الطلاب!$AG$4:$AG$100,$N$1))</f>
        <v>🟠 دفع جزئي</v>
      </c>
    </row>
    <row r="19" spans="2:15" x14ac:dyDescent="0.25">
      <c r="B19" s="118"/>
      <c r="C19" s="118"/>
      <c r="D19" s="118"/>
      <c r="E19" s="118"/>
      <c r="F19" s="118"/>
      <c r="G19" s="118"/>
      <c r="H19" s="118"/>
      <c r="I19" s="118"/>
    </row>
    <row r="20" spans="2:15" x14ac:dyDescent="0.25">
      <c r="B20" s="166" t="s">
        <v>398</v>
      </c>
      <c r="C20" s="166"/>
      <c r="D20" s="166"/>
      <c r="E20" s="166"/>
      <c r="F20" s="166"/>
      <c r="G20" s="166"/>
      <c r="H20" s="166"/>
      <c r="I20" s="166"/>
      <c r="J20" s="166"/>
      <c r="K20" s="166"/>
    </row>
    <row r="21" spans="2:15" x14ac:dyDescent="0.25">
      <c r="B21" s="125" t="s">
        <v>153</v>
      </c>
      <c r="C21" s="125" t="s">
        <v>157</v>
      </c>
      <c r="D21" s="125" t="s">
        <v>158</v>
      </c>
      <c r="E21" s="125" t="s">
        <v>159</v>
      </c>
      <c r="F21" s="125" t="s">
        <v>79</v>
      </c>
    </row>
    <row r="22" spans="2:15" x14ac:dyDescent="0.25">
      <c r="B22" s="124" cm="1">
        <f t="array" ref="B22">IF($O22="","",INDEX('الحركات المالية'!$B$4:$B$200,$O22))</f>
        <v>46054</v>
      </c>
      <c r="C22" s="129" cm="1">
        <f t="array" ref="C22">IF($O22="","",INDEX('الحركات المالية'!$F$4:$F$200,$O22))</f>
        <v>56</v>
      </c>
      <c r="D22" s="123" t="str" cm="1">
        <f t="array" ref="D22">IF($O22="","",INDEX('الحركات المالية'!$G$4:$G$200,$O22))</f>
        <v>كي نت</v>
      </c>
      <c r="E22" s="123" t="str">
        <f>IF($O22="","",T(INDEX('الحركات المالية'!$H$4:$H$200,$O22)))</f>
        <v>KN-99101</v>
      </c>
      <c r="F22" s="131" t="str">
        <f>IF($O22="","",T(INDEX('الحركات المالية'!$K$4:$K$200,$O22)))</f>
        <v/>
      </c>
      <c r="O22" cm="1">
        <f t="array" ref="O22">IFERROR(_xlfn.AGGREGATE(15,6,(ROW('الحركات المالية'!$A$4:$A$200)-ROW('الحركات المالية'!$A$4)+1)/(('الحركات المالية'!$C$4:$C$200="دفعة طالب")*('الحركات المالية'!$D$4:$D$200=$E$7)),ROWS($O$22:O22)),"")</f>
        <v>1</v>
      </c>
    </row>
    <row r="23" spans="2:15" x14ac:dyDescent="0.25">
      <c r="B23" s="124" t="str" cm="1">
        <f t="array" ref="B23">IF($O23="","",INDEX('الحركات المالية'!$B$4:$B$200,$O23))</f>
        <v/>
      </c>
      <c r="C23" s="129" t="str" cm="1">
        <f t="array" ref="C23">IF($O23="","",INDEX('الحركات المالية'!$F$4:$F$200,$O23))</f>
        <v/>
      </c>
      <c r="D23" s="123" t="str" cm="1">
        <f t="array" ref="D23">IF($O23="","",INDEX('الحركات المالية'!$G$4:$G$200,$O23))</f>
        <v/>
      </c>
      <c r="E23" s="123" t="str">
        <f>IF($O23="","",T(INDEX('الحركات المالية'!$H$4:$H$200,$O23)))</f>
        <v/>
      </c>
      <c r="F23" s="131" t="str">
        <f>IF($O23="","",T(INDEX('الحركات المالية'!$K$4:$K$200,$O23)))</f>
        <v/>
      </c>
      <c r="O23" t="str" cm="1">
        <f t="array" ref="O23">IFERROR(_xlfn.AGGREGATE(15,6,(ROW('الحركات المالية'!$A$4:$A$200)-ROW('الحركات المالية'!$A$4)+1)/(('الحركات المالية'!$C$4:$C$200="دفعة طالب")*('الحركات المالية'!$D$4:$D$200=$E$7)),ROWS($O$22:O23)),"")</f>
        <v/>
      </c>
    </row>
    <row r="24" spans="2:15" x14ac:dyDescent="0.25">
      <c r="B24" s="124" t="str" cm="1">
        <f t="array" ref="B24">IF($O24="","",INDEX('الحركات المالية'!$B$4:$B$200,$O24))</f>
        <v/>
      </c>
      <c r="C24" s="129" t="str" cm="1">
        <f t="array" ref="C24">IF($O24="","",INDEX('الحركات المالية'!$F$4:$F$200,$O24))</f>
        <v/>
      </c>
      <c r="D24" s="123" t="str" cm="1">
        <f t="array" ref="D24">IF($O24="","",INDEX('الحركات المالية'!$G$4:$G$200,$O24))</f>
        <v/>
      </c>
      <c r="E24" s="123" t="str">
        <f>IF($O24="","",T(INDEX('الحركات المالية'!$H$4:$H$200,$O24)))</f>
        <v/>
      </c>
      <c r="F24" s="131" t="str">
        <f>IF($O24="","",T(INDEX('الحركات المالية'!$K$4:$K$200,$O24)))</f>
        <v/>
      </c>
      <c r="O24" t="str" cm="1">
        <f t="array" ref="O24">IFERROR(_xlfn.AGGREGATE(15,6,(ROW('الحركات المالية'!$A$4:$A$200)-ROW('الحركات المالية'!$A$4)+1)/(('الحركات المالية'!$C$4:$C$200="دفعة طالب")*('الحركات المالية'!$D$4:$D$200=$E$7)),ROWS($O$22:O24)),"")</f>
        <v/>
      </c>
    </row>
    <row r="25" spans="2:15" x14ac:dyDescent="0.25">
      <c r="B25" s="124" t="str" cm="1">
        <f t="array" ref="B25">IF($O25="","",INDEX('الحركات المالية'!$B$4:$B$200,$O25))</f>
        <v/>
      </c>
      <c r="C25" s="129" t="str" cm="1">
        <f t="array" ref="C25">IF($O25="","",INDEX('الحركات المالية'!$F$4:$F$200,$O25))</f>
        <v/>
      </c>
      <c r="D25" s="123" t="str" cm="1">
        <f t="array" ref="D25">IF($O25="","",INDEX('الحركات المالية'!$G$4:$G$200,$O25))</f>
        <v/>
      </c>
      <c r="E25" s="123" t="str">
        <f>IF($O25="","",T(INDEX('الحركات المالية'!$H$4:$H$200,$O25)))</f>
        <v/>
      </c>
      <c r="F25" s="131" t="str">
        <f>IF($O25="","",T(INDEX('الحركات المالية'!$K$4:$K$200,$O25)))</f>
        <v/>
      </c>
      <c r="O25" t="str" cm="1">
        <f t="array" ref="O25">IFERROR(_xlfn.AGGREGATE(15,6,(ROW('الحركات المالية'!$A$4:$A$200)-ROW('الحركات المالية'!$A$4)+1)/(('الحركات المالية'!$C$4:$C$200="دفعة طالب")*('الحركات المالية'!$D$4:$D$200=$E$7)),ROWS($O$22:O25)),"")</f>
        <v/>
      </c>
    </row>
    <row r="26" spans="2:15" x14ac:dyDescent="0.25">
      <c r="B26" s="124" t="str" cm="1">
        <f t="array" ref="B26">IF($O26="","",INDEX('الحركات المالية'!$B$4:$B$200,$O26))</f>
        <v/>
      </c>
      <c r="C26" s="129" t="str" cm="1">
        <f t="array" ref="C26">IF($O26="","",INDEX('الحركات المالية'!$F$4:$F$200,$O26))</f>
        <v/>
      </c>
      <c r="D26" s="123" t="str" cm="1">
        <f t="array" ref="D26">IF($O26="","",INDEX('الحركات المالية'!$G$4:$G$200,$O26))</f>
        <v/>
      </c>
      <c r="E26" s="123" t="str">
        <f>IF($O26="","",T(INDEX('الحركات المالية'!$H$4:$H$200,$O26)))</f>
        <v/>
      </c>
      <c r="F26" s="131" t="str">
        <f>IF($O26="","",T(INDEX('الحركات المالية'!$K$4:$K$200,$O26)))</f>
        <v/>
      </c>
      <c r="O26" t="str" cm="1">
        <f t="array" ref="O26">IFERROR(_xlfn.AGGREGATE(15,6,(ROW('الحركات المالية'!$A$4:$A$200)-ROW('الحركات المالية'!$A$4)+1)/(('الحركات المالية'!$C$4:$C$200="دفعة طالب")*('الحركات المالية'!$D$4:$D$200=$E$7)),ROWS($O$22:O26)),"")</f>
        <v/>
      </c>
    </row>
    <row r="27" spans="2:15" x14ac:dyDescent="0.25">
      <c r="B27" s="124" t="str" cm="1">
        <f t="array" ref="B27">IF($O27="","",INDEX('الحركات المالية'!$B$4:$B$200,$O27))</f>
        <v/>
      </c>
      <c r="C27" s="129" t="str" cm="1">
        <f t="array" ref="C27">IF($O27="","",INDEX('الحركات المالية'!$F$4:$F$200,$O27))</f>
        <v/>
      </c>
      <c r="D27" s="123" t="str" cm="1">
        <f t="array" ref="D27">IF($O27="","",INDEX('الحركات المالية'!$G$4:$G$200,$O27))</f>
        <v/>
      </c>
      <c r="E27" s="123" t="str">
        <f>IF($O27="","",T(INDEX('الحركات المالية'!$H$4:$H$200,$O27)))</f>
        <v/>
      </c>
      <c r="F27" s="131" t="str">
        <f>IF($O27="","",T(INDEX('الحركات المالية'!$K$4:$K$200,$O27)))</f>
        <v/>
      </c>
      <c r="O27" t="str" cm="1">
        <f t="array" ref="O27">IFERROR(_xlfn.AGGREGATE(15,6,(ROW('الحركات المالية'!$A$4:$A$200)-ROW('الحركات المالية'!$A$4)+1)/(('الحركات المالية'!$C$4:$C$200="دفعة طالب")*('الحركات المالية'!$D$4:$D$200=$E$7)),ROWS($O$22:O27)),"")</f>
        <v/>
      </c>
    </row>
    <row r="28" spans="2:15" x14ac:dyDescent="0.25">
      <c r="B28" s="124" t="str" cm="1">
        <f t="array" ref="B28">IF($O28="","",INDEX('الحركات المالية'!$B$4:$B$200,$O28))</f>
        <v/>
      </c>
      <c r="C28" s="129" t="str" cm="1">
        <f t="array" ref="C28">IF($O28="","",INDEX('الحركات المالية'!$F$4:$F$200,$O28))</f>
        <v/>
      </c>
      <c r="D28" s="123" t="str" cm="1">
        <f t="array" ref="D28">IF($O28="","",INDEX('الحركات المالية'!$G$4:$G$200,$O28))</f>
        <v/>
      </c>
      <c r="E28" s="123" t="str">
        <f>IF($O28="","",T(INDEX('الحركات المالية'!$H$4:$H$200,$O28)))</f>
        <v/>
      </c>
      <c r="F28" s="131" t="str">
        <f>IF($O28="","",T(INDEX('الحركات المالية'!$K$4:$K$200,$O28)))</f>
        <v/>
      </c>
      <c r="O28" t="str" cm="1">
        <f t="array" ref="O28">IFERROR(_xlfn.AGGREGATE(15,6,(ROW('الحركات المالية'!$A$4:$A$200)-ROW('الحركات المالية'!$A$4)+1)/(('الحركات المالية'!$C$4:$C$200="دفعة طالب")*('الحركات المالية'!$D$4:$D$200=$E$7)),ROWS($O$22:O28)),"")</f>
        <v/>
      </c>
    </row>
    <row r="29" spans="2:15" x14ac:dyDescent="0.25">
      <c r="B29" s="124" t="str" cm="1">
        <f t="array" ref="B29">IF($O29="","",INDEX('الحركات المالية'!$B$4:$B$200,$O29))</f>
        <v/>
      </c>
      <c r="C29" s="129" t="str" cm="1">
        <f t="array" ref="C29">IF($O29="","",INDEX('الحركات المالية'!$F$4:$F$200,$O29))</f>
        <v/>
      </c>
      <c r="D29" s="123" t="str" cm="1">
        <f t="array" ref="D29">IF($O29="","",INDEX('الحركات المالية'!$G$4:$G$200,$O29))</f>
        <v/>
      </c>
      <c r="E29" s="123" t="str">
        <f>IF($O29="","",T(INDEX('الحركات المالية'!$H$4:$H$200,$O29)))</f>
        <v/>
      </c>
      <c r="F29" s="131" t="str">
        <f>IF($O29="","",T(INDEX('الحركات المالية'!$K$4:$K$200,$O29)))</f>
        <v/>
      </c>
      <c r="O29" t="str" cm="1">
        <f t="array" ref="O29">IFERROR(_xlfn.AGGREGATE(15,6,(ROW('الحركات المالية'!$A$4:$A$200)-ROW('الحركات المالية'!$A$4)+1)/(('الحركات المالية'!$C$4:$C$200="دفعة طالب")*('الحركات المالية'!$D$4:$D$200=$E$7)),ROWS($O$22:O29)),"")</f>
        <v/>
      </c>
    </row>
    <row r="30" spans="2:15" x14ac:dyDescent="0.25">
      <c r="B30" s="124" t="str" cm="1">
        <f t="array" ref="B30">IF($O30="","",INDEX('الحركات المالية'!$B$4:$B$200,$O30))</f>
        <v/>
      </c>
      <c r="C30" s="129" t="str" cm="1">
        <f t="array" ref="C30">IF($O30="","",INDEX('الحركات المالية'!$F$4:$F$200,$O30))</f>
        <v/>
      </c>
      <c r="D30" s="123" t="str" cm="1">
        <f t="array" ref="D30">IF($O30="","",INDEX('الحركات المالية'!$G$4:$G$200,$O30))</f>
        <v/>
      </c>
      <c r="E30" s="123" t="str">
        <f>IF($O30="","",T(INDEX('الحركات المالية'!$H$4:$H$200,$O30)))</f>
        <v/>
      </c>
      <c r="F30" s="131" t="str">
        <f>IF($O30="","",T(INDEX('الحركات المالية'!$K$4:$K$200,$O30)))</f>
        <v/>
      </c>
      <c r="O30" t="str" cm="1">
        <f t="array" ref="O30">IFERROR(_xlfn.AGGREGATE(15,6,(ROW('الحركات المالية'!$A$4:$A$200)-ROW('الحركات المالية'!$A$4)+1)/(('الحركات المالية'!$C$4:$C$200="دفعة طالب")*('الحركات المالية'!$D$4:$D$200=$E$7)),ROWS($O$22:O30)),"")</f>
        <v/>
      </c>
    </row>
    <row r="31" spans="2:15" x14ac:dyDescent="0.25">
      <c r="B31" s="132" t="s">
        <v>399</v>
      </c>
      <c r="C31" s="133">
        <f>SUMIFS('الحركات المالية'!$F$4:$F$200,'الحركات المالية'!$C$4:$C$200,"دفعة طالب",'الحركات المالية'!$D$4:$D$200,$E$7)</f>
        <v>56</v>
      </c>
      <c r="D31" s="134"/>
      <c r="E31" s="134"/>
      <c r="F31" s="134"/>
    </row>
  </sheetData>
  <mergeCells count="7">
    <mergeCell ref="B20:K20"/>
    <mergeCell ref="C4:E4"/>
    <mergeCell ref="B1:K1"/>
    <mergeCell ref="B2:K2"/>
    <mergeCell ref="B6:K6"/>
    <mergeCell ref="B11:K11"/>
    <mergeCell ref="B15:K15"/>
  </mergeCells>
  <pageMargins left="0.27777777777777779" right="0.27777777777777779" top="0.34722222222222221" bottom="0.34722222222222221" header="0.3" footer="0.3"/>
  <pageSetup paperSize="9" scale="7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D0ED4E-FDA1-4BED-AAD3-144B63AFABCE}">
          <x14:formula1>
            <xm:f>الطلاب!$A$4:$A$100</xm:f>
          </x14:formula1>
          <xm:sqref>C4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لوحة التحكم</vt:lpstr>
      <vt:lpstr>الطلاب</vt:lpstr>
      <vt:lpstr>المعلمون</vt:lpstr>
      <vt:lpstr>الحركات المالية</vt:lpstr>
      <vt:lpstr>الإعدادات</vt:lpstr>
      <vt:lpstr>تقرير المعلم</vt:lpstr>
      <vt:lpstr>تقرير الطالب</vt:lpstr>
      <vt:lpstr>GOV_1</vt:lpstr>
      <vt:lpstr>GOV_2</vt:lpstr>
      <vt:lpstr>GOV_3</vt:lpstr>
      <vt:lpstr>GOV_4</vt:lpstr>
      <vt:lpstr>GOV_5</vt:lpstr>
      <vt:lpstr>GOV_6</vt:lpstr>
      <vt:lpstr>'تقرير الطالب'!Print_Area</vt:lpstr>
      <vt:lpstr>'تقرير المعلم'!Print_Area</vt:lpstr>
      <vt:lpstr>SIB_CODES</vt:lpstr>
      <vt:lpstr>SIB_RATES</vt:lpstr>
      <vt:lpstr>STG_1</vt:lpstr>
      <vt:lpstr>STG_2</vt:lpstr>
      <vt:lpstr>STG_3</vt:lpstr>
      <vt:lpstr>STG_4</vt:lpstr>
      <vt:lpstr>STG_5</vt:lpstr>
      <vt:lpstr>STG_6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mohamed mostafa</cp:lastModifiedBy>
  <dcterms:created xsi:type="dcterms:W3CDTF">2026-07-15T09:44:58Z</dcterms:created>
  <dcterms:modified xsi:type="dcterms:W3CDTF">2026-07-17T14:01:58Z</dcterms:modified>
</cp:coreProperties>
</file>